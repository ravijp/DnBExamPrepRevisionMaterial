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viPrakash\Downloads\"/>
    </mc:Choice>
  </mc:AlternateContent>
  <xr:revisionPtr revIDLastSave="0" documentId="13_ncr:1_{2CE672AA-8CAB-4D26-974D-00FFD3FAD03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racker" sheetId="1" r:id="rId1"/>
    <sheet name="Dashboard" sheetId="2" r:id="rId2"/>
    <sheet name="Sources &amp; Method" sheetId="3" r:id="rId3"/>
  </sheets>
  <definedNames>
    <definedName name="_xlnm._FilterDatabase" localSheetId="0" hidden="1">Tracker!$A$4:$M$106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2" l="1"/>
  <c r="G23" i="2"/>
  <c r="F23" i="2"/>
  <c r="E23" i="2"/>
  <c r="H22" i="2"/>
  <c r="G22" i="2"/>
  <c r="F22" i="2"/>
  <c r="E22" i="2"/>
  <c r="I22" i="2" s="1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I12" i="2" s="1"/>
  <c r="H11" i="2"/>
  <c r="G11" i="2"/>
  <c r="F11" i="2"/>
  <c r="E11" i="2"/>
  <c r="H10" i="2"/>
  <c r="G10" i="2"/>
  <c r="F10" i="2"/>
  <c r="E10" i="2"/>
  <c r="I10" i="2" s="1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I23" i="2" l="1"/>
  <c r="I18" i="2"/>
  <c r="I20" i="2"/>
  <c r="I7" i="2"/>
  <c r="I15" i="2"/>
  <c r="I19" i="2"/>
  <c r="I21" i="2"/>
  <c r="I6" i="2"/>
  <c r="I8" i="2"/>
  <c r="I11" i="2"/>
  <c r="I9" i="2"/>
  <c r="I13" i="2"/>
  <c r="I17" i="2"/>
  <c r="I14" i="2"/>
  <c r="I5" i="2"/>
  <c r="I16" i="2"/>
</calcChain>
</file>

<file path=xl/sharedStrings.xml><?xml version="1.0" encoding="utf-8"?>
<sst xmlns="http://schemas.openxmlformats.org/spreadsheetml/2006/main" count="793" uniqueCount="270">
  <si>
    <t>DNB Radiodiagnosis - Final Theory Revision Tracker</t>
  </si>
  <si>
    <t>Exam 18 Jun 2 PM. Filter by Paper/Category/Sub-category. 'Cat marks/session' = frequency from 11 real past papers (see Sources sheet) - category level, not per-topic. Set Status, then sort 'Order' ascending to revise Partial first.</t>
  </si>
  <si>
    <t>Paper</t>
  </si>
  <si>
    <t>Category</t>
  </si>
  <si>
    <t>Sub-category</t>
  </si>
  <si>
    <t>Topic</t>
  </si>
  <si>
    <t>HY</t>
  </si>
  <si>
    <t>Cat marks/session</t>
  </si>
  <si>
    <t>Freq tier</t>
  </si>
  <si>
    <t>Est min</t>
  </si>
  <si>
    <t>Status</t>
  </si>
  <si>
    <t>Priority</t>
  </si>
  <si>
    <t>Order</t>
  </si>
  <si>
    <t>Notes / source caveats</t>
  </si>
  <si>
    <t>Paper I</t>
  </si>
  <si>
    <t>Neuroradiology</t>
  </si>
  <si>
    <t>Brain - neoplastic</t>
  </si>
  <si>
    <t>Intracranial tumours - supra &amp; infratentorial</t>
  </si>
  <si>
    <t>★</t>
  </si>
  <si>
    <t>Very High</t>
  </si>
  <si>
    <t>Not Started</t>
  </si>
  <si>
    <t>Pituitary &amp; sellar region masses</t>
  </si>
  <si>
    <t>Brain - vascular</t>
  </si>
  <si>
    <t>Ischaemic stroke - CT/MRI &amp; penumbra</t>
  </si>
  <si>
    <t>Also tested in Paper II/IV (acute &amp; IR).</t>
  </si>
  <si>
    <t>Intracranial haemorrhage &amp; aneurysm/AVM</t>
  </si>
  <si>
    <t>Brain - infective/inflammatory</t>
  </si>
  <si>
    <t>CNS infections (TB, NCC, pyogenic, fungal)</t>
  </si>
  <si>
    <t>Demyelinating &amp; degenerative disorders</t>
  </si>
  <si>
    <t>CNS in HIV &amp; congenital TORCH</t>
  </si>
  <si>
    <t>Phakomatoses</t>
  </si>
  <si>
    <t>Neurocutaneous syndromes (NF, Sturge-Weber, TS)</t>
  </si>
  <si>
    <t>Spine</t>
  </si>
  <si>
    <t>Spine - approach, cord &amp; canal tumours, myelopathy</t>
  </si>
  <si>
    <t>Methods</t>
  </si>
  <si>
    <t>CNS imaging methods, perfusion, spectroscopy</t>
  </si>
  <si>
    <t>Head &amp; Neck</t>
  </si>
  <si>
    <t>Orbit</t>
  </si>
  <si>
    <t>Orbit - intraocular, orbital masses, exophthalmos, trauma</t>
  </si>
  <si>
    <t>High</t>
  </si>
  <si>
    <t>Sinonasal</t>
  </si>
  <si>
    <t>Nose &amp; paranasal sinuses</t>
  </si>
  <si>
    <t>Temporal bone</t>
  </si>
  <si>
    <t>Ear / temporal bone HRCT &amp; inner ear MRI</t>
  </si>
  <si>
    <t>Neck spaces</t>
  </si>
  <si>
    <t>Neck spaces anatomy &amp; disease spread; nodal levels</t>
  </si>
  <si>
    <t>Larynx, pharynx &amp; H&amp;N malignancy staging</t>
  </si>
  <si>
    <t>Congenital neck</t>
  </si>
  <si>
    <t>Congenital neck masses (thyroglossal, branchial)</t>
  </si>
  <si>
    <t>Maxillofacial/dental</t>
  </si>
  <si>
    <t>Maxillofacial, dental, TMJ &amp; salivary glands</t>
  </si>
  <si>
    <t>Endocrine</t>
  </si>
  <si>
    <t>Thyroid</t>
  </si>
  <si>
    <t>Thyroid &amp; parathyroid imaging (nodule US, TIRADS)</t>
  </si>
  <si>
    <t>Lower</t>
  </si>
  <si>
    <t>Adrenal</t>
  </si>
  <si>
    <t>Adrenal imaging</t>
  </si>
  <si>
    <t>Other</t>
  </si>
  <si>
    <t>Pituitary/pancreatic/gonadal endocrine imaging</t>
  </si>
  <si>
    <t>Musculoskeletal</t>
  </si>
  <si>
    <t>Trauma</t>
  </si>
  <si>
    <t>Skeletal trauma - spine, pelvis, appendicular</t>
  </si>
  <si>
    <t>Tumours</t>
  </si>
  <si>
    <t>Bone tumours - benign, malignant, metastases</t>
  </si>
  <si>
    <t>Bone-forming &amp; cartilage tumours (osteosarcoma, Ewing)</t>
  </si>
  <si>
    <t>Infection</t>
  </si>
  <si>
    <t>Osteomyelitis &amp; septic/granulomatous arthritis</t>
  </si>
  <si>
    <t>Metabolic</t>
  </si>
  <si>
    <t>Metabolic bone disease, rickets, bone density</t>
  </si>
  <si>
    <t>Dysplasia</t>
  </si>
  <si>
    <t>Skeletal dysplasias &amp; paediatric MSK</t>
  </si>
  <si>
    <t>Arthropathy</t>
  </si>
  <si>
    <t>Arthropathies (inflammatory, crystal, degenerative)</t>
  </si>
  <si>
    <t>Cross-sectional</t>
  </si>
  <si>
    <t>MSK MRI - internal derangement, marrow, joints</t>
  </si>
  <si>
    <t>MSK ultrasound &amp; soft-tissue/nerve sheath lesions</t>
  </si>
  <si>
    <t>Haematological</t>
  </si>
  <si>
    <t>Skeletal changes in leukaemia/haemolytic anaemia</t>
  </si>
  <si>
    <t>Breast</t>
  </si>
  <si>
    <t>Diagnostic</t>
  </si>
  <si>
    <t>Mammography/US/MRI, benign vs malignant, BI-RADS</t>
  </si>
  <si>
    <t>Paper varies: women's imaging (III) vs soft tissue (I). Appears in Paper I in sample.</t>
  </si>
  <si>
    <t>Screening/IR</t>
  </si>
  <si>
    <t>Breast screening, tomosynthesis &amp; intervention</t>
  </si>
  <si>
    <t>Paper II</t>
  </si>
  <si>
    <t>Pulmonary / Chest</t>
  </si>
  <si>
    <t>Normal/technique</t>
  </si>
  <si>
    <t>Normal chest, CXR views, systematic interpretation</t>
  </si>
  <si>
    <t>Mediastinum/pleura</t>
  </si>
  <si>
    <t>Mediastinum (incl. posterior masses), pleura, diaphragm</t>
  </si>
  <si>
    <t>Airways/airspace</t>
  </si>
  <si>
    <t>Airways disease, collapse &amp; consolidation</t>
  </si>
  <si>
    <t>Pulmonary infections (incl. TB, hydatid, COVID)</t>
  </si>
  <si>
    <t>Neoplasm</t>
  </si>
  <si>
    <t>Pulmonary neoplasms &amp; solitary/multiple nodules</t>
  </si>
  <si>
    <t>Diffuse</t>
  </si>
  <si>
    <t>Diffuse lung disease / ILD - HRCT patterns</t>
  </si>
  <si>
    <t>Cystic/cavitary</t>
  </si>
  <si>
    <t>Cystic &amp; cavitary lung lesions, sequestration</t>
  </si>
  <si>
    <t>Vascular</t>
  </si>
  <si>
    <t>Pulmonary thromboembolism (acute &amp; chronic)</t>
  </si>
  <si>
    <t>Paediatric/critical</t>
  </si>
  <si>
    <t>Paediatric chest &amp; ICU/critical-care chest</t>
  </si>
  <si>
    <t>Hilum</t>
  </si>
  <si>
    <t>Hilar/mediastinal nodes - differentiation</t>
  </si>
  <si>
    <t>Cardiovascular</t>
  </si>
  <si>
    <t>Congenital</t>
  </si>
  <si>
    <t>Congenital heart disease (cyanotic/acyanotic)</t>
  </si>
  <si>
    <t>Acquired</t>
  </si>
  <si>
    <t>Acquired/valvular disease (e.g. mitral stenosis)</t>
  </si>
  <si>
    <t>Ischaemic</t>
  </si>
  <si>
    <t>Ischaemic heart disease &amp; cardiac CT/MRI</t>
  </si>
  <si>
    <t>Pericardium, cardiomyopathy &amp; cardiac tumours</t>
  </si>
  <si>
    <t>Great vessels</t>
  </si>
  <si>
    <t>Aorta - aneurysm, dissection, aortitis (CTA)</t>
  </si>
  <si>
    <t>Coronary</t>
  </si>
  <si>
    <t>Coronary anatomy &amp; MDCT coronary angiography</t>
  </si>
  <si>
    <t>Vascular &amp; Doppler</t>
  </si>
  <si>
    <t>Arterial</t>
  </si>
  <si>
    <t>Arterial Doppler (carotid, peripheral, RAS)</t>
  </si>
  <si>
    <t>Venous</t>
  </si>
  <si>
    <t>Venous Doppler (DVT, varicose veins)</t>
  </si>
  <si>
    <t>Malformations</t>
  </si>
  <si>
    <t>Vascular anomalies/malformations (ISSVA)</t>
  </si>
  <si>
    <t>Physics</t>
  </si>
  <si>
    <t>Color Doppler principles &amp; artefacts</t>
  </si>
  <si>
    <t>Overlaps Paper IV physics.</t>
  </si>
  <si>
    <t>Emergency &amp; Trauma</t>
  </si>
  <si>
    <t>Emergency</t>
  </si>
  <si>
    <t>Emergency imaging protocols (acute chest pain, pelvic pain)</t>
  </si>
  <si>
    <t>Moderate</t>
  </si>
  <si>
    <t>Trauma imaging - head, thorax, solid-organ (AAST)</t>
  </si>
  <si>
    <t>Haemoptysis</t>
  </si>
  <si>
    <t>Haemoptysis - work-up &amp; bronchial artery embolization</t>
  </si>
  <si>
    <t>Paper III</t>
  </si>
  <si>
    <t>GI &amp; Hepatobiliary</t>
  </si>
  <si>
    <t>Luminal - upper</t>
  </si>
  <si>
    <t>Esophagus &amp; stomach (barium + cross-sectional)</t>
  </si>
  <si>
    <t>Luminal - small bowel</t>
  </si>
  <si>
    <t>Small bowel - enteroclysis, CT/MR enterography, obstruction</t>
  </si>
  <si>
    <t>Luminal - colon</t>
  </si>
  <si>
    <t>Colon - polyps, carcinoma, virtual colonoscopy</t>
  </si>
  <si>
    <t>Liver</t>
  </si>
  <si>
    <t>Liver - focal/diffuse disease, chronic liver disease, hyperenhancing</t>
  </si>
  <si>
    <t>Biliary</t>
  </si>
  <si>
    <t>Gallbladder &amp; biliary (MRCP, Caroli, ERCP)</t>
  </si>
  <si>
    <t>Pancreas</t>
  </si>
  <si>
    <t>Pancreas - pancreatitis, cystic &amp; solid tumours</t>
  </si>
  <si>
    <t>Spleen/peritoneum</t>
  </si>
  <si>
    <t>Spleen, peritoneum &amp; mesentery</t>
  </si>
  <si>
    <t>Vascular GI</t>
  </si>
  <si>
    <t>Mesenteric ischaemia &amp; GI bleeding</t>
  </si>
  <si>
    <t>Paediatric</t>
  </si>
  <si>
    <t>Paediatric GI (NEC, neonatal jaundice, obstruction)</t>
  </si>
  <si>
    <t>IR</t>
  </si>
  <si>
    <t>Portal HTN &amp; TIPS</t>
  </si>
  <si>
    <t>Genitourinary</t>
  </si>
  <si>
    <t>Renal masses</t>
  </si>
  <si>
    <t>Renal masses - benign/malignant, RCC, staging</t>
  </si>
  <si>
    <t>Obstruction</t>
  </si>
  <si>
    <t>Urinary obstruction, calculus, nephrocalcinosis</t>
  </si>
  <si>
    <t>Bladder/prostate</t>
  </si>
  <si>
    <t>Bladder tumours (T-staging) &amp; prostate (mpMRI/PI-RADS)</t>
  </si>
  <si>
    <t>Infection/inflam</t>
  </si>
  <si>
    <t>Genitourinary TB &amp; renal infections</t>
  </si>
  <si>
    <t>Transplant</t>
  </si>
  <si>
    <t>Renal transplant - donor work-up &amp; graft dysfunction</t>
  </si>
  <si>
    <t>GU trauma (renal, bladder, urethral injury)</t>
  </si>
  <si>
    <t>Male/Doppler</t>
  </si>
  <si>
    <t>Scrotal &amp; erectile-dysfunction Doppler</t>
  </si>
  <si>
    <t>Paediatric/IR</t>
  </si>
  <si>
    <t>Paediatric uroradiology &amp; interventional uro</t>
  </si>
  <si>
    <t>Contrast techniques</t>
  </si>
  <si>
    <t>IVU, MCU, RGU, HSG techniques</t>
  </si>
  <si>
    <t>Obstetrics</t>
  </si>
  <si>
    <t>Early pregnancy</t>
  </si>
  <si>
    <t>Ectopic &amp; first-trimester bleeding/assessment</t>
  </si>
  <si>
    <t>Anomaly/fetal</t>
  </si>
  <si>
    <t>Anomaly scan (TIFFA), fetal medicine, antenatal MRI</t>
  </si>
  <si>
    <t>Placenta</t>
  </si>
  <si>
    <t>Placenta accreta/morbidly adherent placenta</t>
  </si>
  <si>
    <t>Doppler/fluid</t>
  </si>
  <si>
    <t>Obstetric Doppler &amp; liquor abnormalities</t>
  </si>
  <si>
    <t>Gynaecology</t>
  </si>
  <si>
    <t>Uterus/cervix</t>
  </si>
  <si>
    <t>Endometrial &amp; cervical carcinoma; MRI pelvis</t>
  </si>
  <si>
    <t>Adnexa</t>
  </si>
  <si>
    <t>Ovarian/adnexal masses &amp; pelvic pain</t>
  </si>
  <si>
    <t>Infertility/congenital</t>
  </si>
  <si>
    <t>Infertility (TVS/HSG/MRI), congenital uterine anomalies, amenorrhea</t>
  </si>
  <si>
    <t>Paper IV</t>
  </si>
  <si>
    <t>Imaging Physics</t>
  </si>
  <si>
    <t>X-ray/receptors</t>
  </si>
  <si>
    <t>X-ray tube &amp; production; film, CR, digital receptors</t>
  </si>
  <si>
    <t>X-ray interactions</t>
  </si>
  <si>
    <t>X-ray/gamma interaction with matter; scatter &amp; reduction</t>
  </si>
  <si>
    <t>CT</t>
  </si>
  <si>
    <t>CT physics &amp; image reconstruction</t>
  </si>
  <si>
    <t>MRI</t>
  </si>
  <si>
    <t>MRI physics - k-space, sequences, fat-sat, chemical shift</t>
  </si>
  <si>
    <t>MRI advanced</t>
  </si>
  <si>
    <t>Parallel imaging, MRA (TOF), DWI, perfusion</t>
  </si>
  <si>
    <t>US</t>
  </si>
  <si>
    <t>Ultrasound &amp; Doppler physics</t>
  </si>
  <si>
    <t>QA/PACS</t>
  </si>
  <si>
    <t>Image quality, QA, PACS &amp; RIS</t>
  </si>
  <si>
    <t>Recent Advances &amp; Techniques</t>
  </si>
  <si>
    <t>Functional</t>
  </si>
  <si>
    <t>Functional/molecular imaging, elastography, HIFU</t>
  </si>
  <si>
    <t>AI</t>
  </si>
  <si>
    <t>Artificial intelligence &amp; tomosynthesis</t>
  </si>
  <si>
    <t>Specialised MR/CT</t>
  </si>
  <si>
    <t>MR urography, cartilage imaging, advanced techniques</t>
  </si>
  <si>
    <t>Oncologic</t>
  </si>
  <si>
    <t>Oncologic radiology - staging &amp; follow-up, PET-CT</t>
  </si>
  <si>
    <t>Cross-cutting; appears in system papers too.</t>
  </si>
  <si>
    <t>Radiation Protection &amp; Safety</t>
  </si>
  <si>
    <t>Dose/limits</t>
  </si>
  <si>
    <t>Radiation dose limits, ALARA, eLORA</t>
  </si>
  <si>
    <t>Protection</t>
  </si>
  <si>
    <t>Protection measures - staff/patient/public; pulse fluoro, aprons</t>
  </si>
  <si>
    <t>Biology/legal</t>
  </si>
  <si>
    <t>Radiation biology; medicolegal, PNDT Act, ethics</t>
  </si>
  <si>
    <t>Contrast Media</t>
  </si>
  <si>
    <t>Iodinated</t>
  </si>
  <si>
    <t>Iodinated/CT contrast - types, reactions &amp; management</t>
  </si>
  <si>
    <t>US contrast agents, enteric &amp; MR contrast</t>
  </si>
  <si>
    <t>Interventional Radiology</t>
  </si>
  <si>
    <t>IR vascular - angioplasty, stenting, embolization, thrombolysis</t>
  </si>
  <si>
    <t>Distributed</t>
  </si>
  <si>
    <t>Low as standalone but heavily embedded across papers.</t>
  </si>
  <si>
    <t>Non-vascular</t>
  </si>
  <si>
    <t>IR non-vascular - nephrostomy, PTBD, drainage, biopsy</t>
  </si>
  <si>
    <t>Oncologic/neuro</t>
  </si>
  <si>
    <t>TACE/TARE, RFA, neurointervention (stroke/aneurysm)</t>
  </si>
  <si>
    <t>Nuclear Medicine</t>
  </si>
  <si>
    <t>General</t>
  </si>
  <si>
    <t>Nuclear medicine - radiopharmaceuticals &amp; common studies</t>
  </si>
  <si>
    <t>System</t>
  </si>
  <si>
    <t>Scintigraphy - cardiac, renal, bone, PET-CT</t>
  </si>
  <si>
    <t>Revision Dashboard - by Category</t>
  </si>
  <si>
    <t>Counts update as you set Status. 'Marks/session' is frequency-based (see Sources).</t>
  </si>
  <si>
    <t>Marks/ session</t>
  </si>
  <si>
    <t>Tier</t>
  </si>
  <si>
    <t>Topics</t>
  </si>
  <si>
    <t>Covered</t>
  </si>
  <si>
    <t>Partial</t>
  </si>
  <si>
    <t>% done (incl. partial)</t>
  </si>
  <si>
    <t>Sources, Marks &amp; Weighting Method</t>
  </si>
  <si>
    <t>OFFICIAL (sourced) exam structure</t>
  </si>
  <si>
    <t>4 papers x 100 marks = 400. Each paper: 10 short-note questions x 10 marks, 3 hours. Parts A &amp; B (5+5).</t>
  </si>
  <si>
    <t>Pass: &gt;=200/400 aggregate (broad specialty). Source: NBE DNB Radio Diagnosis curriculum guideline + NBEMS notices.</t>
  </si>
  <si>
    <t>There is NO official per-topic mark allocation. Topic weighting below is EMPIRICAL (question frequency).</t>
  </si>
  <si>
    <t>Past papers analysed (each question = 10 marks; confirmed on official NBEMS papers)</t>
  </si>
  <si>
    <t>Paper I : Dec 2021, Jun 2022, Apr 2023  (3 sessions, 30 questions)</t>
  </si>
  <si>
    <t>Paper II : Dec 2021, Jun 2022, Oct 2023  (3 sessions, 30 questions)</t>
  </si>
  <si>
    <t>Paper III: Dec 2021, Jun 2022, Oct 2023  (3 sessions, 30 questions)</t>
  </si>
  <si>
    <t>Paper IV : Dec 2021, Jun 2022  (2 sessions, 20 questions)</t>
  </si>
  <si>
    <t>Total: 110 questions / 1100 marks. Sources: official natboard.edu.in question papers (Apr23/Oct23) + radioloksabha (Dec21/Jun22).</t>
  </si>
  <si>
    <t>How 'Cat marks/session' was derived</t>
  </si>
  <si>
    <t>Each question assigned to one category (A/B split = 0.5 each). Category questions/session x 10 = avg marks/session.</t>
  </si>
  <si>
    <t>Per paper the category values sum to ~100 (one paper's marks). Tiers: VeryHigh&gt;=30, High 18-29, Moderate 12-17, Lower&lt;12.</t>
  </si>
  <si>
    <t>Caveats (read before trusting)</t>
  </si>
  <si>
    <t>Sample is small (2-3 sessions/paper); weights show broad emphasis, not exact future marks.</t>
  </si>
  <si>
    <t>Interventional Radiology scores 'low' as a standalone Paper IV topic but is heavily embedded across all papers (stroke, haemoptysis, TIPS, aortic, liver) - treat as higher than its number suggests.</t>
  </si>
  <si>
    <t>Breast is not pinned to a paper; it appeared in Paper I in this sample. Confirm locally.</t>
  </si>
  <si>
    <t>Est min are planning estimates for revision, NOT sourced facts.</t>
  </si>
  <si>
    <t>NBE revises guidelines periodically; your information bulletin is the final word.</t>
  </si>
  <si>
    <t>My Completeness Score (out of 10)</t>
  </si>
  <si>
    <t>Not aplicable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</si>
</sst>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5"/>
      <color rgb="FF1F4E5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color rgb="FF1F4E5F"/>
      <name val="Arial"/>
      <charset val="1"/>
    </font>
    <font>
      <sz val="9"/>
      <color rgb="FF33333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2E9"/>
        </patternFill>
      </fill>
    </dxf>
    <dxf>
      <fill>
        <patternFill>
          <bgColor rgb="FFE2E8EC"/>
        </patternFill>
      </fill>
    </dxf>
    <dxf>
      <fill>
        <patternFill>
          <bgColor rgb="FFFDEFC1"/>
        </patternFill>
      </fill>
    </dxf>
    <dxf>
      <fill>
        <patternFill>
          <bgColor rgb="FFFBD7B5"/>
        </patternFill>
      </fill>
    </dxf>
    <dxf>
      <fill>
        <patternFill>
          <bgColor rgb="FFF4B7B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EFC1"/>
      <rgbColor rgb="FFE2E8EC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7B7"/>
      <rgbColor rgb="FFFFC7CE"/>
      <rgbColor rgb="FFFBD7B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6"/>
  <sheetViews>
    <sheetView tabSelected="1" topLeftCell="A4" zoomScaleNormal="100" workbookViewId="0">
      <pane xSplit="4" ySplit="1" topLeftCell="E5" activePane="bottomRight" state="frozen"/>
      <selection activeCell="A4" sqref="A4"/>
      <selection pane="topRight" activeCell="E4" sqref="E4"/>
      <selection pane="bottomLeft" activeCell="A5" sqref="A5"/>
      <selection pane="bottomRight" activeCell="A4" sqref="A4"/>
    </sheetView>
  </sheetViews>
  <sheetFormatPr defaultColWidth="8.6328125" defaultRowHeight="14.5" x14ac:dyDescent="0.35"/>
  <cols>
    <col min="1" max="1" width="9" customWidth="1"/>
    <col min="2" max="2" width="15" customWidth="1"/>
    <col min="3" max="3" width="17" customWidth="1"/>
    <col min="4" max="4" width="40" customWidth="1"/>
    <col min="5" max="5" width="13.08984375" customWidth="1"/>
    <col min="6" max="6" width="5" customWidth="1"/>
    <col min="7" max="7" width="11" customWidth="1"/>
    <col min="8" max="8" width="10" customWidth="1"/>
    <col min="9" max="9" width="7" customWidth="1"/>
    <col min="10" max="10" width="12" customWidth="1"/>
    <col min="11" max="11" width="10" customWidth="1"/>
    <col min="12" max="12" width="7" customWidth="1"/>
    <col min="13" max="13" width="34" customWidth="1"/>
  </cols>
  <sheetData>
    <row r="1" spans="1:13" ht="19" hidden="1" x14ac:dyDescent="0.4">
      <c r="A1" s="1" t="s">
        <v>0</v>
      </c>
    </row>
    <row r="2" spans="1:13" hidden="1" x14ac:dyDescent="0.35">
      <c r="A2" s="2" t="s">
        <v>1</v>
      </c>
    </row>
    <row r="3" spans="1:13" hidden="1" x14ac:dyDescent="0.35"/>
    <row r="4" spans="1:13" ht="52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268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35">
      <c r="A5" s="4" t="s">
        <v>14</v>
      </c>
      <c r="B5" s="4" t="s">
        <v>15</v>
      </c>
      <c r="C5" s="5" t="s">
        <v>16</v>
      </c>
      <c r="D5" s="5" t="s">
        <v>17</v>
      </c>
      <c r="E5" s="5">
        <v>8</v>
      </c>
      <c r="F5" s="6" t="s">
        <v>18</v>
      </c>
      <c r="G5" s="6">
        <v>30</v>
      </c>
      <c r="H5" s="6" t="s">
        <v>19</v>
      </c>
      <c r="I5" s="6">
        <v>40</v>
      </c>
      <c r="J5" s="6" t="s">
        <v>20</v>
      </c>
      <c r="K5" s="6"/>
      <c r="L5" s="6">
        <f t="shared" ref="L5:L36" si="0">(IF(J5="Partial",1,IF(J5="Not Started",2,IF(J5="Covered",3,2))))*10+(IF(K5="High",1,IF(K5="Medium",2,IF(K5="Low",3,2))))</f>
        <v>22</v>
      </c>
      <c r="M5" s="5"/>
    </row>
    <row r="6" spans="1:13" x14ac:dyDescent="0.35">
      <c r="A6" s="4" t="s">
        <v>14</v>
      </c>
      <c r="B6" s="4" t="s">
        <v>15</v>
      </c>
      <c r="C6" s="5" t="s">
        <v>16</v>
      </c>
      <c r="D6" s="5" t="s">
        <v>21</v>
      </c>
      <c r="E6" s="5">
        <v>9</v>
      </c>
      <c r="F6" s="6" t="s">
        <v>18</v>
      </c>
      <c r="G6" s="6">
        <v>30</v>
      </c>
      <c r="H6" s="6" t="s">
        <v>19</v>
      </c>
      <c r="I6" s="6">
        <v>30</v>
      </c>
      <c r="J6" s="6" t="s">
        <v>20</v>
      </c>
      <c r="K6" s="6"/>
      <c r="L6" s="6">
        <f t="shared" si="0"/>
        <v>22</v>
      </c>
      <c r="M6" s="5"/>
    </row>
    <row r="7" spans="1:13" x14ac:dyDescent="0.35">
      <c r="A7" s="4" t="s">
        <v>14</v>
      </c>
      <c r="B7" s="4" t="s">
        <v>15</v>
      </c>
      <c r="C7" s="5" t="s">
        <v>22</v>
      </c>
      <c r="D7" s="5" t="s">
        <v>23</v>
      </c>
      <c r="E7" s="5">
        <v>9</v>
      </c>
      <c r="F7" s="6" t="s">
        <v>18</v>
      </c>
      <c r="G7" s="6">
        <v>30</v>
      </c>
      <c r="H7" s="6" t="s">
        <v>19</v>
      </c>
      <c r="I7" s="6">
        <v>35</v>
      </c>
      <c r="J7" s="6" t="s">
        <v>20</v>
      </c>
      <c r="K7" s="6"/>
      <c r="L7" s="6">
        <f t="shared" si="0"/>
        <v>22</v>
      </c>
      <c r="M7" s="5" t="s">
        <v>24</v>
      </c>
    </row>
    <row r="8" spans="1:13" x14ac:dyDescent="0.35">
      <c r="A8" s="4" t="s">
        <v>14</v>
      </c>
      <c r="B8" s="4" t="s">
        <v>15</v>
      </c>
      <c r="C8" s="5" t="s">
        <v>22</v>
      </c>
      <c r="D8" s="5" t="s">
        <v>25</v>
      </c>
      <c r="E8" s="5">
        <v>9</v>
      </c>
      <c r="F8" s="6" t="s">
        <v>18</v>
      </c>
      <c r="G8" s="6">
        <v>30</v>
      </c>
      <c r="H8" s="6" t="s">
        <v>19</v>
      </c>
      <c r="I8" s="6">
        <v>35</v>
      </c>
      <c r="J8" s="6" t="s">
        <v>20</v>
      </c>
      <c r="K8" s="6"/>
      <c r="L8" s="6">
        <f t="shared" si="0"/>
        <v>22</v>
      </c>
      <c r="M8" s="5"/>
    </row>
    <row r="9" spans="1:13" ht="23" x14ac:dyDescent="0.35">
      <c r="A9" s="4" t="s">
        <v>14</v>
      </c>
      <c r="B9" s="4" t="s">
        <v>15</v>
      </c>
      <c r="C9" s="5" t="s">
        <v>26</v>
      </c>
      <c r="D9" s="5" t="s">
        <v>27</v>
      </c>
      <c r="E9" s="5">
        <v>9</v>
      </c>
      <c r="F9" s="6" t="s">
        <v>18</v>
      </c>
      <c r="G9" s="6">
        <v>30</v>
      </c>
      <c r="H9" s="6" t="s">
        <v>19</v>
      </c>
      <c r="I9" s="6">
        <v>35</v>
      </c>
      <c r="J9" s="6" t="s">
        <v>20</v>
      </c>
      <c r="K9" s="6"/>
      <c r="L9" s="6">
        <f t="shared" si="0"/>
        <v>22</v>
      </c>
      <c r="M9" s="5"/>
    </row>
    <row r="10" spans="1:13" ht="23" x14ac:dyDescent="0.35">
      <c r="A10" s="4" t="s">
        <v>14</v>
      </c>
      <c r="B10" s="4" t="s">
        <v>15</v>
      </c>
      <c r="C10" s="5" t="s">
        <v>26</v>
      </c>
      <c r="D10" s="5" t="s">
        <v>28</v>
      </c>
      <c r="E10" s="5">
        <v>9</v>
      </c>
      <c r="F10" s="6"/>
      <c r="G10" s="6">
        <v>30</v>
      </c>
      <c r="H10" s="6" t="s">
        <v>19</v>
      </c>
      <c r="I10" s="6">
        <v>30</v>
      </c>
      <c r="J10" s="6" t="s">
        <v>20</v>
      </c>
      <c r="K10" s="6"/>
      <c r="L10" s="6">
        <f t="shared" si="0"/>
        <v>22</v>
      </c>
      <c r="M10" s="5"/>
    </row>
    <row r="11" spans="1:13" ht="23" x14ac:dyDescent="0.35">
      <c r="A11" s="4" t="s">
        <v>14</v>
      </c>
      <c r="B11" s="4" t="s">
        <v>15</v>
      </c>
      <c r="C11" s="5" t="s">
        <v>26</v>
      </c>
      <c r="D11" s="5" t="s">
        <v>29</v>
      </c>
      <c r="E11" s="5">
        <v>9</v>
      </c>
      <c r="F11" s="6"/>
      <c r="G11" s="6">
        <v>30</v>
      </c>
      <c r="H11" s="6" t="s">
        <v>19</v>
      </c>
      <c r="I11" s="6">
        <v>25</v>
      </c>
      <c r="J11" s="6" t="s">
        <v>20</v>
      </c>
      <c r="K11" s="6"/>
      <c r="L11" s="6">
        <f t="shared" si="0"/>
        <v>22</v>
      </c>
      <c r="M11" s="5"/>
    </row>
    <row r="12" spans="1:13" x14ac:dyDescent="0.35">
      <c r="A12" s="4" t="s">
        <v>14</v>
      </c>
      <c r="B12" s="4" t="s">
        <v>15</v>
      </c>
      <c r="C12" s="5" t="s">
        <v>30</v>
      </c>
      <c r="D12" s="5" t="s">
        <v>31</v>
      </c>
      <c r="E12" s="5">
        <v>9</v>
      </c>
      <c r="F12" s="6" t="s">
        <v>18</v>
      </c>
      <c r="G12" s="6">
        <v>30</v>
      </c>
      <c r="H12" s="6" t="s">
        <v>19</v>
      </c>
      <c r="I12" s="6">
        <v>25</v>
      </c>
      <c r="J12" s="6" t="s">
        <v>20</v>
      </c>
      <c r="K12" s="6"/>
      <c r="L12" s="6">
        <f t="shared" si="0"/>
        <v>22</v>
      </c>
      <c r="M12" s="5"/>
    </row>
    <row r="13" spans="1:13" x14ac:dyDescent="0.35">
      <c r="A13" s="4" t="s">
        <v>14</v>
      </c>
      <c r="B13" s="4" t="s">
        <v>15</v>
      </c>
      <c r="C13" s="5" t="s">
        <v>32</v>
      </c>
      <c r="D13" s="5" t="s">
        <v>33</v>
      </c>
      <c r="E13" s="5">
        <v>7</v>
      </c>
      <c r="F13" s="6" t="s">
        <v>18</v>
      </c>
      <c r="G13" s="6">
        <v>30</v>
      </c>
      <c r="H13" s="6" t="s">
        <v>19</v>
      </c>
      <c r="I13" s="6">
        <v>35</v>
      </c>
      <c r="J13" s="6" t="s">
        <v>20</v>
      </c>
      <c r="K13" s="6"/>
      <c r="L13" s="6">
        <f t="shared" si="0"/>
        <v>22</v>
      </c>
      <c r="M13" s="5"/>
    </row>
    <row r="14" spans="1:13" x14ac:dyDescent="0.35">
      <c r="A14" s="4" t="s">
        <v>14</v>
      </c>
      <c r="B14" s="4" t="s">
        <v>15</v>
      </c>
      <c r="C14" s="5" t="s">
        <v>34</v>
      </c>
      <c r="D14" s="5" t="s">
        <v>35</v>
      </c>
      <c r="E14" s="5">
        <v>5</v>
      </c>
      <c r="F14" s="6"/>
      <c r="G14" s="6">
        <v>30</v>
      </c>
      <c r="H14" s="6" t="s">
        <v>19</v>
      </c>
      <c r="I14" s="6">
        <v>25</v>
      </c>
      <c r="J14" s="6" t="s">
        <v>20</v>
      </c>
      <c r="K14" s="6"/>
      <c r="L14" s="6">
        <f t="shared" si="0"/>
        <v>22</v>
      </c>
      <c r="M14" s="5"/>
    </row>
    <row r="15" spans="1:13" ht="23" x14ac:dyDescent="0.35">
      <c r="A15" s="4" t="s">
        <v>14</v>
      </c>
      <c r="B15" s="4" t="s">
        <v>36</v>
      </c>
      <c r="C15" s="5" t="s">
        <v>37</v>
      </c>
      <c r="D15" s="5" t="s">
        <v>38</v>
      </c>
      <c r="E15" s="5">
        <v>9</v>
      </c>
      <c r="F15" s="6" t="s">
        <v>18</v>
      </c>
      <c r="G15" s="6">
        <v>23</v>
      </c>
      <c r="H15" s="6" t="s">
        <v>39</v>
      </c>
      <c r="I15" s="6">
        <v>30</v>
      </c>
      <c r="J15" s="6" t="s">
        <v>20</v>
      </c>
      <c r="K15" s="6"/>
      <c r="L15" s="6">
        <f t="shared" si="0"/>
        <v>22</v>
      </c>
      <c r="M15" s="5"/>
    </row>
    <row r="16" spans="1:13" x14ac:dyDescent="0.35">
      <c r="A16" s="4" t="s">
        <v>14</v>
      </c>
      <c r="B16" s="4" t="s">
        <v>36</v>
      </c>
      <c r="C16" s="5" t="s">
        <v>40</v>
      </c>
      <c r="D16" s="5" t="s">
        <v>41</v>
      </c>
      <c r="E16" s="5">
        <v>5</v>
      </c>
      <c r="F16" s="6"/>
      <c r="G16" s="6">
        <v>23</v>
      </c>
      <c r="H16" s="6" t="s">
        <v>39</v>
      </c>
      <c r="I16" s="6">
        <v>25</v>
      </c>
      <c r="J16" s="6" t="s">
        <v>20</v>
      </c>
      <c r="K16" s="6"/>
      <c r="L16" s="6">
        <f t="shared" si="0"/>
        <v>22</v>
      </c>
      <c r="M16" s="5"/>
    </row>
    <row r="17" spans="1:13" x14ac:dyDescent="0.35">
      <c r="A17" s="4" t="s">
        <v>14</v>
      </c>
      <c r="B17" s="4" t="s">
        <v>36</v>
      </c>
      <c r="C17" s="5" t="s">
        <v>42</v>
      </c>
      <c r="D17" s="5" t="s">
        <v>43</v>
      </c>
      <c r="E17" s="5">
        <v>5</v>
      </c>
      <c r="F17" s="6" t="s">
        <v>18</v>
      </c>
      <c r="G17" s="6">
        <v>23</v>
      </c>
      <c r="H17" s="6" t="s">
        <v>39</v>
      </c>
      <c r="I17" s="6">
        <v>30</v>
      </c>
      <c r="J17" s="6" t="s">
        <v>20</v>
      </c>
      <c r="K17" s="6"/>
      <c r="L17" s="6">
        <f t="shared" si="0"/>
        <v>22</v>
      </c>
      <c r="M17" s="5"/>
    </row>
    <row r="18" spans="1:13" ht="23" x14ac:dyDescent="0.35">
      <c r="A18" s="4" t="s">
        <v>14</v>
      </c>
      <c r="B18" s="4" t="s">
        <v>36</v>
      </c>
      <c r="C18" s="5" t="s">
        <v>44</v>
      </c>
      <c r="D18" s="5" t="s">
        <v>45</v>
      </c>
      <c r="E18" s="5">
        <v>5</v>
      </c>
      <c r="F18" s="6" t="s">
        <v>18</v>
      </c>
      <c r="G18" s="6">
        <v>23</v>
      </c>
      <c r="H18" s="6" t="s">
        <v>39</v>
      </c>
      <c r="I18" s="6">
        <v>30</v>
      </c>
      <c r="J18" s="6" t="s">
        <v>20</v>
      </c>
      <c r="K18" s="6"/>
      <c r="L18" s="6">
        <f t="shared" si="0"/>
        <v>22</v>
      </c>
      <c r="M18" s="5"/>
    </row>
    <row r="19" spans="1:13" x14ac:dyDescent="0.35">
      <c r="A19" s="4" t="s">
        <v>14</v>
      </c>
      <c r="B19" s="4" t="s">
        <v>36</v>
      </c>
      <c r="C19" s="5" t="s">
        <v>44</v>
      </c>
      <c r="D19" s="5" t="s">
        <v>46</v>
      </c>
      <c r="E19" s="5">
        <v>5</v>
      </c>
      <c r="F19" s="6" t="s">
        <v>18</v>
      </c>
      <c r="G19" s="6">
        <v>23</v>
      </c>
      <c r="H19" s="6" t="s">
        <v>39</v>
      </c>
      <c r="I19" s="6">
        <v>30</v>
      </c>
      <c r="J19" s="6" t="s">
        <v>20</v>
      </c>
      <c r="K19" s="6"/>
      <c r="L19" s="6">
        <f t="shared" si="0"/>
        <v>22</v>
      </c>
      <c r="M19" s="5"/>
    </row>
    <row r="20" spans="1:13" x14ac:dyDescent="0.35">
      <c r="A20" s="4" t="s">
        <v>14</v>
      </c>
      <c r="B20" s="4" t="s">
        <v>36</v>
      </c>
      <c r="C20" s="5" t="s">
        <v>47</v>
      </c>
      <c r="D20" s="5" t="s">
        <v>48</v>
      </c>
      <c r="E20" s="5">
        <v>8</v>
      </c>
      <c r="F20" s="6" t="s">
        <v>18</v>
      </c>
      <c r="G20" s="6">
        <v>23</v>
      </c>
      <c r="H20" s="6" t="s">
        <v>39</v>
      </c>
      <c r="I20" s="6">
        <v>25</v>
      </c>
      <c r="J20" s="6" t="s">
        <v>20</v>
      </c>
      <c r="K20" s="6"/>
      <c r="L20" s="6">
        <f t="shared" si="0"/>
        <v>22</v>
      </c>
      <c r="M20" s="5"/>
    </row>
    <row r="21" spans="1:13" x14ac:dyDescent="0.35">
      <c r="A21" s="4" t="s">
        <v>14</v>
      </c>
      <c r="B21" s="4" t="s">
        <v>36</v>
      </c>
      <c r="C21" s="5" t="s">
        <v>49</v>
      </c>
      <c r="D21" s="5" t="s">
        <v>50</v>
      </c>
      <c r="E21" s="5">
        <v>5</v>
      </c>
      <c r="F21" s="6"/>
      <c r="G21" s="6">
        <v>23</v>
      </c>
      <c r="H21" s="6" t="s">
        <v>39</v>
      </c>
      <c r="I21" s="6">
        <v>30</v>
      </c>
      <c r="J21" s="6" t="s">
        <v>20</v>
      </c>
      <c r="K21" s="6"/>
      <c r="L21" s="6">
        <f t="shared" si="0"/>
        <v>22</v>
      </c>
      <c r="M21" s="5"/>
    </row>
    <row r="22" spans="1:13" x14ac:dyDescent="0.35">
      <c r="A22" s="4" t="s">
        <v>14</v>
      </c>
      <c r="B22" s="4" t="s">
        <v>51</v>
      </c>
      <c r="C22" s="5" t="s">
        <v>52</v>
      </c>
      <c r="D22" s="5" t="s">
        <v>53</v>
      </c>
      <c r="E22" s="5">
        <v>9</v>
      </c>
      <c r="F22" s="6" t="s">
        <v>18</v>
      </c>
      <c r="G22" s="6">
        <v>7</v>
      </c>
      <c r="H22" s="6" t="s">
        <v>54</v>
      </c>
      <c r="I22" s="6">
        <v>25</v>
      </c>
      <c r="J22" s="6" t="s">
        <v>20</v>
      </c>
      <c r="K22" s="6"/>
      <c r="L22" s="6">
        <f t="shared" si="0"/>
        <v>22</v>
      </c>
      <c r="M22" s="5"/>
    </row>
    <row r="23" spans="1:13" x14ac:dyDescent="0.35">
      <c r="A23" s="4" t="s">
        <v>14</v>
      </c>
      <c r="B23" s="4" t="s">
        <v>51</v>
      </c>
      <c r="C23" s="5" t="s">
        <v>55</v>
      </c>
      <c r="D23" s="5" t="s">
        <v>56</v>
      </c>
      <c r="E23" s="5" t="s">
        <v>269</v>
      </c>
      <c r="F23" s="6"/>
      <c r="G23" s="6">
        <v>7</v>
      </c>
      <c r="H23" s="6" t="s">
        <v>54</v>
      </c>
      <c r="I23" s="6">
        <v>20</v>
      </c>
      <c r="J23" s="6" t="s">
        <v>20</v>
      </c>
      <c r="K23" s="6"/>
      <c r="L23" s="6">
        <f t="shared" si="0"/>
        <v>22</v>
      </c>
      <c r="M23" s="5"/>
    </row>
    <row r="24" spans="1:13" x14ac:dyDescent="0.35">
      <c r="A24" s="4" t="s">
        <v>14</v>
      </c>
      <c r="B24" s="4" t="s">
        <v>51</v>
      </c>
      <c r="C24" s="5" t="s">
        <v>57</v>
      </c>
      <c r="D24" s="5" t="s">
        <v>58</v>
      </c>
      <c r="E24" s="5" t="s">
        <v>269</v>
      </c>
      <c r="F24" s="6"/>
      <c r="G24" s="6">
        <v>7</v>
      </c>
      <c r="H24" s="6" t="s">
        <v>54</v>
      </c>
      <c r="I24" s="6">
        <v>15</v>
      </c>
      <c r="J24" s="6" t="s">
        <v>20</v>
      </c>
      <c r="K24" s="6"/>
      <c r="L24" s="6">
        <f t="shared" si="0"/>
        <v>22</v>
      </c>
      <c r="M24" s="5"/>
    </row>
    <row r="25" spans="1:13" x14ac:dyDescent="0.35">
      <c r="A25" s="4" t="s">
        <v>14</v>
      </c>
      <c r="B25" s="4" t="s">
        <v>59</v>
      </c>
      <c r="C25" s="5" t="s">
        <v>60</v>
      </c>
      <c r="D25" s="5" t="s">
        <v>61</v>
      </c>
      <c r="E25" s="5">
        <v>3</v>
      </c>
      <c r="F25" s="6" t="s">
        <v>18</v>
      </c>
      <c r="G25" s="6">
        <v>33</v>
      </c>
      <c r="H25" s="6" t="s">
        <v>19</v>
      </c>
      <c r="I25" s="6">
        <v>35</v>
      </c>
      <c r="J25" s="6" t="s">
        <v>20</v>
      </c>
      <c r="K25" s="6"/>
      <c r="L25" s="6">
        <f t="shared" si="0"/>
        <v>22</v>
      </c>
      <c r="M25" s="5"/>
    </row>
    <row r="26" spans="1:13" x14ac:dyDescent="0.35">
      <c r="A26" s="4" t="s">
        <v>14</v>
      </c>
      <c r="B26" s="4" t="s">
        <v>59</v>
      </c>
      <c r="C26" s="5" t="s">
        <v>62</v>
      </c>
      <c r="D26" s="5" t="s">
        <v>63</v>
      </c>
      <c r="E26" s="5">
        <v>3</v>
      </c>
      <c r="F26" s="6" t="s">
        <v>18</v>
      </c>
      <c r="G26" s="6">
        <v>33</v>
      </c>
      <c r="H26" s="6" t="s">
        <v>19</v>
      </c>
      <c r="I26" s="6">
        <v>40</v>
      </c>
      <c r="J26" s="6" t="s">
        <v>20</v>
      </c>
      <c r="K26" s="6"/>
      <c r="L26" s="6">
        <f t="shared" si="0"/>
        <v>22</v>
      </c>
      <c r="M26" s="5"/>
    </row>
    <row r="27" spans="1:13" ht="23" x14ac:dyDescent="0.35">
      <c r="A27" s="4" t="s">
        <v>14</v>
      </c>
      <c r="B27" s="4" t="s">
        <v>59</v>
      </c>
      <c r="C27" s="5" t="s">
        <v>62</v>
      </c>
      <c r="D27" s="5" t="s">
        <v>64</v>
      </c>
      <c r="E27" s="5">
        <v>3</v>
      </c>
      <c r="F27" s="6" t="s">
        <v>18</v>
      </c>
      <c r="G27" s="6">
        <v>33</v>
      </c>
      <c r="H27" s="6" t="s">
        <v>19</v>
      </c>
      <c r="I27" s="6">
        <v>30</v>
      </c>
      <c r="J27" s="6" t="s">
        <v>20</v>
      </c>
      <c r="K27" s="6"/>
      <c r="L27" s="6">
        <f t="shared" si="0"/>
        <v>22</v>
      </c>
      <c r="M27" s="5"/>
    </row>
    <row r="28" spans="1:13" x14ac:dyDescent="0.35">
      <c r="A28" s="4" t="s">
        <v>14</v>
      </c>
      <c r="B28" s="4" t="s">
        <v>59</v>
      </c>
      <c r="C28" s="5" t="s">
        <v>65</v>
      </c>
      <c r="D28" s="5" t="s">
        <v>66</v>
      </c>
      <c r="E28" s="5">
        <v>3</v>
      </c>
      <c r="F28" s="6" t="s">
        <v>18</v>
      </c>
      <c r="G28" s="6">
        <v>33</v>
      </c>
      <c r="H28" s="6" t="s">
        <v>19</v>
      </c>
      <c r="I28" s="6">
        <v>30</v>
      </c>
      <c r="J28" s="6" t="s">
        <v>20</v>
      </c>
      <c r="K28" s="6"/>
      <c r="L28" s="6">
        <f t="shared" si="0"/>
        <v>22</v>
      </c>
      <c r="M28" s="5"/>
    </row>
    <row r="29" spans="1:13" x14ac:dyDescent="0.35">
      <c r="A29" s="4" t="s">
        <v>14</v>
      </c>
      <c r="B29" s="4" t="s">
        <v>59</v>
      </c>
      <c r="C29" s="5" t="s">
        <v>67</v>
      </c>
      <c r="D29" s="5" t="s">
        <v>68</v>
      </c>
      <c r="E29" s="5">
        <v>3</v>
      </c>
      <c r="F29" s="6" t="s">
        <v>18</v>
      </c>
      <c r="G29" s="6">
        <v>33</v>
      </c>
      <c r="H29" s="6" t="s">
        <v>19</v>
      </c>
      <c r="I29" s="6">
        <v>30</v>
      </c>
      <c r="J29" s="6" t="s">
        <v>20</v>
      </c>
      <c r="K29" s="6"/>
      <c r="L29" s="6">
        <f t="shared" si="0"/>
        <v>22</v>
      </c>
      <c r="M29" s="5"/>
    </row>
    <row r="30" spans="1:13" x14ac:dyDescent="0.35">
      <c r="A30" s="4" t="s">
        <v>14</v>
      </c>
      <c r="B30" s="4" t="s">
        <v>59</v>
      </c>
      <c r="C30" s="5" t="s">
        <v>69</v>
      </c>
      <c r="D30" s="5" t="s">
        <v>70</v>
      </c>
      <c r="E30" s="5">
        <v>3</v>
      </c>
      <c r="F30" s="6"/>
      <c r="G30" s="6">
        <v>33</v>
      </c>
      <c r="H30" s="6" t="s">
        <v>19</v>
      </c>
      <c r="I30" s="6">
        <v>25</v>
      </c>
      <c r="J30" s="6" t="s">
        <v>20</v>
      </c>
      <c r="K30" s="6"/>
      <c r="L30" s="6">
        <f t="shared" si="0"/>
        <v>22</v>
      </c>
      <c r="M30" s="5"/>
    </row>
    <row r="31" spans="1:13" x14ac:dyDescent="0.35">
      <c r="A31" s="4" t="s">
        <v>14</v>
      </c>
      <c r="B31" s="4" t="s">
        <v>59</v>
      </c>
      <c r="C31" s="5" t="s">
        <v>71</v>
      </c>
      <c r="D31" s="5" t="s">
        <v>72</v>
      </c>
      <c r="E31" s="5">
        <v>3</v>
      </c>
      <c r="F31" s="6" t="s">
        <v>18</v>
      </c>
      <c r="G31" s="6">
        <v>33</v>
      </c>
      <c r="H31" s="6" t="s">
        <v>19</v>
      </c>
      <c r="I31" s="6">
        <v>30</v>
      </c>
      <c r="J31" s="6" t="s">
        <v>20</v>
      </c>
      <c r="K31" s="6"/>
      <c r="L31" s="6">
        <f t="shared" si="0"/>
        <v>22</v>
      </c>
      <c r="M31" s="5"/>
    </row>
    <row r="32" spans="1:13" x14ac:dyDescent="0.35">
      <c r="A32" s="4" t="s">
        <v>14</v>
      </c>
      <c r="B32" s="4" t="s">
        <v>59</v>
      </c>
      <c r="C32" s="5" t="s">
        <v>73</v>
      </c>
      <c r="D32" s="5" t="s">
        <v>74</v>
      </c>
      <c r="E32" s="5">
        <v>3</v>
      </c>
      <c r="F32" s="6" t="s">
        <v>18</v>
      </c>
      <c r="G32" s="6">
        <v>33</v>
      </c>
      <c r="H32" s="6" t="s">
        <v>19</v>
      </c>
      <c r="I32" s="6">
        <v>35</v>
      </c>
      <c r="J32" s="6" t="s">
        <v>20</v>
      </c>
      <c r="K32" s="6"/>
      <c r="L32" s="6">
        <f t="shared" si="0"/>
        <v>22</v>
      </c>
      <c r="M32" s="5"/>
    </row>
    <row r="33" spans="1:13" x14ac:dyDescent="0.35">
      <c r="A33" s="4" t="s">
        <v>14</v>
      </c>
      <c r="B33" s="4" t="s">
        <v>59</v>
      </c>
      <c r="C33" s="5" t="s">
        <v>73</v>
      </c>
      <c r="D33" s="5" t="s">
        <v>75</v>
      </c>
      <c r="E33" s="5">
        <v>3</v>
      </c>
      <c r="F33" s="6"/>
      <c r="G33" s="6">
        <v>33</v>
      </c>
      <c r="H33" s="6" t="s">
        <v>19</v>
      </c>
      <c r="I33" s="6">
        <v>25</v>
      </c>
      <c r="J33" s="6" t="s">
        <v>20</v>
      </c>
      <c r="K33" s="6"/>
      <c r="L33" s="6">
        <f t="shared" si="0"/>
        <v>22</v>
      </c>
      <c r="M33" s="5"/>
    </row>
    <row r="34" spans="1:13" x14ac:dyDescent="0.35">
      <c r="A34" s="4" t="s">
        <v>14</v>
      </c>
      <c r="B34" s="4" t="s">
        <v>59</v>
      </c>
      <c r="C34" s="5" t="s">
        <v>76</v>
      </c>
      <c r="D34" s="5" t="s">
        <v>77</v>
      </c>
      <c r="E34" s="5">
        <v>3</v>
      </c>
      <c r="F34" s="6"/>
      <c r="G34" s="6">
        <v>33</v>
      </c>
      <c r="H34" s="6" t="s">
        <v>19</v>
      </c>
      <c r="I34" s="6">
        <v>20</v>
      </c>
      <c r="J34" s="6" t="s">
        <v>20</v>
      </c>
      <c r="K34" s="6"/>
      <c r="L34" s="6">
        <f t="shared" si="0"/>
        <v>22</v>
      </c>
      <c r="M34" s="5"/>
    </row>
    <row r="35" spans="1:13" ht="23" x14ac:dyDescent="0.35">
      <c r="A35" s="4" t="s">
        <v>14</v>
      </c>
      <c r="B35" s="4" t="s">
        <v>78</v>
      </c>
      <c r="C35" s="5" t="s">
        <v>79</v>
      </c>
      <c r="D35" s="5" t="s">
        <v>80</v>
      </c>
      <c r="E35" s="5">
        <v>9</v>
      </c>
      <c r="F35" s="6" t="s">
        <v>18</v>
      </c>
      <c r="G35" s="6">
        <v>7</v>
      </c>
      <c r="H35" s="6" t="s">
        <v>54</v>
      </c>
      <c r="I35" s="6">
        <v>30</v>
      </c>
      <c r="J35" s="6" t="s">
        <v>20</v>
      </c>
      <c r="K35" s="6"/>
      <c r="L35" s="6">
        <f t="shared" si="0"/>
        <v>22</v>
      </c>
      <c r="M35" s="5" t="s">
        <v>81</v>
      </c>
    </row>
    <row r="36" spans="1:13" x14ac:dyDescent="0.35">
      <c r="A36" s="4" t="s">
        <v>14</v>
      </c>
      <c r="B36" s="4" t="s">
        <v>78</v>
      </c>
      <c r="C36" s="5" t="s">
        <v>82</v>
      </c>
      <c r="D36" s="5" t="s">
        <v>83</v>
      </c>
      <c r="E36" s="5">
        <v>9</v>
      </c>
      <c r="F36" s="6"/>
      <c r="G36" s="6">
        <v>7</v>
      </c>
      <c r="H36" s="6" t="s">
        <v>54</v>
      </c>
      <c r="I36" s="6">
        <v>20</v>
      </c>
      <c r="J36" s="6" t="s">
        <v>20</v>
      </c>
      <c r="K36" s="6"/>
      <c r="L36" s="6">
        <f t="shared" si="0"/>
        <v>22</v>
      </c>
      <c r="M36" s="5"/>
    </row>
    <row r="37" spans="1:13" hidden="1" x14ac:dyDescent="0.35">
      <c r="A37" s="4" t="s">
        <v>84</v>
      </c>
      <c r="B37" s="4" t="s">
        <v>85</v>
      </c>
      <c r="C37" s="5" t="s">
        <v>86</v>
      </c>
      <c r="D37" s="5" t="s">
        <v>87</v>
      </c>
      <c r="E37" s="5" t="s">
        <v>269</v>
      </c>
      <c r="F37" s="6" t="s">
        <v>18</v>
      </c>
      <c r="G37" s="6">
        <v>48</v>
      </c>
      <c r="H37" s="6" t="s">
        <v>19</v>
      </c>
      <c r="I37" s="6">
        <v>30</v>
      </c>
      <c r="J37" s="6" t="s">
        <v>20</v>
      </c>
      <c r="K37" s="6"/>
      <c r="L37" s="6">
        <f t="shared" ref="L37:L68" si="1">(IF(J37="Partial",1,IF(J37="Not Started",2,IF(J37="Covered",3,2))))*10+(IF(K37="High",1,IF(K37="Medium",2,IF(K37="Low",3,2))))</f>
        <v>22</v>
      </c>
      <c r="M37" s="5"/>
    </row>
    <row r="38" spans="1:13" ht="23" hidden="1" x14ac:dyDescent="0.35">
      <c r="A38" s="4" t="s">
        <v>84</v>
      </c>
      <c r="B38" s="4" t="s">
        <v>85</v>
      </c>
      <c r="C38" s="5" t="s">
        <v>88</v>
      </c>
      <c r="D38" s="5" t="s">
        <v>89</v>
      </c>
      <c r="E38" s="5">
        <v>9</v>
      </c>
      <c r="F38" s="6" t="s">
        <v>18</v>
      </c>
      <c r="G38" s="6">
        <v>48</v>
      </c>
      <c r="H38" s="6" t="s">
        <v>19</v>
      </c>
      <c r="I38" s="6">
        <v>35</v>
      </c>
      <c r="J38" s="6" t="s">
        <v>20</v>
      </c>
      <c r="K38" s="6"/>
      <c r="L38" s="6">
        <f t="shared" si="1"/>
        <v>22</v>
      </c>
      <c r="M38" s="5"/>
    </row>
    <row r="39" spans="1:13" hidden="1" x14ac:dyDescent="0.35">
      <c r="A39" s="4" t="s">
        <v>84</v>
      </c>
      <c r="B39" s="4" t="s">
        <v>85</v>
      </c>
      <c r="C39" s="5" t="s">
        <v>90</v>
      </c>
      <c r="D39" s="5" t="s">
        <v>91</v>
      </c>
      <c r="E39" s="5"/>
      <c r="F39" s="6" t="s">
        <v>18</v>
      </c>
      <c r="G39" s="6">
        <v>48</v>
      </c>
      <c r="H39" s="6" t="s">
        <v>19</v>
      </c>
      <c r="I39" s="6">
        <v>30</v>
      </c>
      <c r="J39" s="6" t="s">
        <v>20</v>
      </c>
      <c r="K39" s="6"/>
      <c r="L39" s="6">
        <f t="shared" si="1"/>
        <v>22</v>
      </c>
      <c r="M39" s="5"/>
    </row>
    <row r="40" spans="1:13" hidden="1" x14ac:dyDescent="0.35">
      <c r="A40" s="4" t="s">
        <v>84</v>
      </c>
      <c r="B40" s="4" t="s">
        <v>85</v>
      </c>
      <c r="C40" s="5" t="s">
        <v>65</v>
      </c>
      <c r="D40" s="5" t="s">
        <v>92</v>
      </c>
      <c r="E40" s="5"/>
      <c r="F40" s="6" t="s">
        <v>18</v>
      </c>
      <c r="G40" s="6">
        <v>48</v>
      </c>
      <c r="H40" s="6" t="s">
        <v>19</v>
      </c>
      <c r="I40" s="6">
        <v>35</v>
      </c>
      <c r="J40" s="6" t="s">
        <v>20</v>
      </c>
      <c r="K40" s="6"/>
      <c r="L40" s="6">
        <f t="shared" si="1"/>
        <v>22</v>
      </c>
      <c r="M40" s="5"/>
    </row>
    <row r="41" spans="1:13" hidden="1" x14ac:dyDescent="0.35">
      <c r="A41" s="4" t="s">
        <v>84</v>
      </c>
      <c r="B41" s="4" t="s">
        <v>85</v>
      </c>
      <c r="C41" s="5" t="s">
        <v>93</v>
      </c>
      <c r="D41" s="5" t="s">
        <v>94</v>
      </c>
      <c r="E41" s="5"/>
      <c r="F41" s="6" t="s">
        <v>18</v>
      </c>
      <c r="G41" s="6">
        <v>48</v>
      </c>
      <c r="H41" s="6" t="s">
        <v>19</v>
      </c>
      <c r="I41" s="6">
        <v>35</v>
      </c>
      <c r="J41" s="6" t="s">
        <v>20</v>
      </c>
      <c r="K41" s="6"/>
      <c r="L41" s="6">
        <f t="shared" si="1"/>
        <v>22</v>
      </c>
      <c r="M41" s="5"/>
    </row>
    <row r="42" spans="1:13" hidden="1" x14ac:dyDescent="0.35">
      <c r="A42" s="4" t="s">
        <v>84</v>
      </c>
      <c r="B42" s="4" t="s">
        <v>85</v>
      </c>
      <c r="C42" s="5" t="s">
        <v>95</v>
      </c>
      <c r="D42" s="5" t="s">
        <v>96</v>
      </c>
      <c r="E42" s="5"/>
      <c r="F42" s="6" t="s">
        <v>18</v>
      </c>
      <c r="G42" s="6">
        <v>48</v>
      </c>
      <c r="H42" s="6" t="s">
        <v>19</v>
      </c>
      <c r="I42" s="6">
        <v>35</v>
      </c>
      <c r="J42" s="6" t="s">
        <v>20</v>
      </c>
      <c r="K42" s="6"/>
      <c r="L42" s="6">
        <f t="shared" si="1"/>
        <v>22</v>
      </c>
      <c r="M42" s="5"/>
    </row>
    <row r="43" spans="1:13" hidden="1" x14ac:dyDescent="0.35">
      <c r="A43" s="4" t="s">
        <v>84</v>
      </c>
      <c r="B43" s="4" t="s">
        <v>85</v>
      </c>
      <c r="C43" s="5" t="s">
        <v>97</v>
      </c>
      <c r="D43" s="5" t="s">
        <v>98</v>
      </c>
      <c r="E43" s="5"/>
      <c r="F43" s="6" t="s">
        <v>18</v>
      </c>
      <c r="G43" s="6">
        <v>48</v>
      </c>
      <c r="H43" s="6" t="s">
        <v>19</v>
      </c>
      <c r="I43" s="6">
        <v>25</v>
      </c>
      <c r="J43" s="6" t="s">
        <v>20</v>
      </c>
      <c r="K43" s="6"/>
      <c r="L43" s="6">
        <f t="shared" si="1"/>
        <v>22</v>
      </c>
      <c r="M43" s="5"/>
    </row>
    <row r="44" spans="1:13" hidden="1" x14ac:dyDescent="0.35">
      <c r="A44" s="4" t="s">
        <v>84</v>
      </c>
      <c r="B44" s="4" t="s">
        <v>85</v>
      </c>
      <c r="C44" s="5" t="s">
        <v>99</v>
      </c>
      <c r="D44" s="5" t="s">
        <v>100</v>
      </c>
      <c r="E44" s="5"/>
      <c r="F44" s="6" t="s">
        <v>18</v>
      </c>
      <c r="G44" s="6">
        <v>48</v>
      </c>
      <c r="H44" s="6" t="s">
        <v>19</v>
      </c>
      <c r="I44" s="6">
        <v>30</v>
      </c>
      <c r="J44" s="6" t="s">
        <v>20</v>
      </c>
      <c r="K44" s="6"/>
      <c r="L44" s="6">
        <f t="shared" si="1"/>
        <v>22</v>
      </c>
      <c r="M44" s="5"/>
    </row>
    <row r="45" spans="1:13" hidden="1" x14ac:dyDescent="0.35">
      <c r="A45" s="4" t="s">
        <v>84</v>
      </c>
      <c r="B45" s="4" t="s">
        <v>85</v>
      </c>
      <c r="C45" s="5" t="s">
        <v>101</v>
      </c>
      <c r="D45" s="5" t="s">
        <v>102</v>
      </c>
      <c r="E45" s="5"/>
      <c r="F45" s="6"/>
      <c r="G45" s="6">
        <v>48</v>
      </c>
      <c r="H45" s="6" t="s">
        <v>19</v>
      </c>
      <c r="I45" s="6">
        <v>25</v>
      </c>
      <c r="J45" s="6" t="s">
        <v>20</v>
      </c>
      <c r="K45" s="6"/>
      <c r="L45" s="6">
        <f t="shared" si="1"/>
        <v>22</v>
      </c>
      <c r="M45" s="5"/>
    </row>
    <row r="46" spans="1:13" hidden="1" x14ac:dyDescent="0.35">
      <c r="A46" s="4" t="s">
        <v>84</v>
      </c>
      <c r="B46" s="4" t="s">
        <v>85</v>
      </c>
      <c r="C46" s="5" t="s">
        <v>103</v>
      </c>
      <c r="D46" s="5" t="s">
        <v>104</v>
      </c>
      <c r="E46" s="5"/>
      <c r="F46" s="6"/>
      <c r="G46" s="6">
        <v>48</v>
      </c>
      <c r="H46" s="6" t="s">
        <v>19</v>
      </c>
      <c r="I46" s="6">
        <v>20</v>
      </c>
      <c r="J46" s="6" t="s">
        <v>20</v>
      </c>
      <c r="K46" s="6"/>
      <c r="L46" s="6">
        <f t="shared" si="1"/>
        <v>22</v>
      </c>
      <c r="M46" s="5"/>
    </row>
    <row r="47" spans="1:13" hidden="1" x14ac:dyDescent="0.35">
      <c r="A47" s="4" t="s">
        <v>84</v>
      </c>
      <c r="B47" s="4" t="s">
        <v>105</v>
      </c>
      <c r="C47" s="5" t="s">
        <v>106</v>
      </c>
      <c r="D47" s="5" t="s">
        <v>107</v>
      </c>
      <c r="E47" s="5"/>
      <c r="F47" s="6" t="s">
        <v>18</v>
      </c>
      <c r="G47" s="6">
        <v>18</v>
      </c>
      <c r="H47" s="6" t="s">
        <v>39</v>
      </c>
      <c r="I47" s="6">
        <v>35</v>
      </c>
      <c r="J47" s="6" t="s">
        <v>20</v>
      </c>
      <c r="K47" s="6"/>
      <c r="L47" s="6">
        <f t="shared" si="1"/>
        <v>22</v>
      </c>
      <c r="M47" s="5"/>
    </row>
    <row r="48" spans="1:13" hidden="1" x14ac:dyDescent="0.35">
      <c r="A48" s="4" t="s">
        <v>84</v>
      </c>
      <c r="B48" s="4" t="s">
        <v>105</v>
      </c>
      <c r="C48" s="5" t="s">
        <v>108</v>
      </c>
      <c r="D48" s="5" t="s">
        <v>109</v>
      </c>
      <c r="E48" s="5"/>
      <c r="F48" s="6"/>
      <c r="G48" s="6">
        <v>18</v>
      </c>
      <c r="H48" s="6" t="s">
        <v>39</v>
      </c>
      <c r="I48" s="6">
        <v>25</v>
      </c>
      <c r="J48" s="6" t="s">
        <v>20</v>
      </c>
      <c r="K48" s="6"/>
      <c r="L48" s="6">
        <f t="shared" si="1"/>
        <v>22</v>
      </c>
      <c r="M48" s="5"/>
    </row>
    <row r="49" spans="1:13" hidden="1" x14ac:dyDescent="0.35">
      <c r="A49" s="4" t="s">
        <v>84</v>
      </c>
      <c r="B49" s="4" t="s">
        <v>105</v>
      </c>
      <c r="C49" s="5" t="s">
        <v>110</v>
      </c>
      <c r="D49" s="5" t="s">
        <v>111</v>
      </c>
      <c r="E49" s="5"/>
      <c r="F49" s="6" t="s">
        <v>18</v>
      </c>
      <c r="G49" s="6">
        <v>18</v>
      </c>
      <c r="H49" s="6" t="s">
        <v>39</v>
      </c>
      <c r="I49" s="6">
        <v>30</v>
      </c>
      <c r="J49" s="6" t="s">
        <v>20</v>
      </c>
      <c r="K49" s="6"/>
      <c r="L49" s="6">
        <f t="shared" si="1"/>
        <v>22</v>
      </c>
      <c r="M49" s="5"/>
    </row>
    <row r="50" spans="1:13" hidden="1" x14ac:dyDescent="0.35">
      <c r="A50" s="4" t="s">
        <v>84</v>
      </c>
      <c r="B50" s="4" t="s">
        <v>105</v>
      </c>
      <c r="C50" s="5" t="s">
        <v>57</v>
      </c>
      <c r="D50" s="5" t="s">
        <v>112</v>
      </c>
      <c r="E50" s="5"/>
      <c r="F50" s="6"/>
      <c r="G50" s="6">
        <v>18</v>
      </c>
      <c r="H50" s="6" t="s">
        <v>39</v>
      </c>
      <c r="I50" s="6">
        <v>25</v>
      </c>
      <c r="J50" s="6" t="s">
        <v>20</v>
      </c>
      <c r="K50" s="6"/>
      <c r="L50" s="6">
        <f t="shared" si="1"/>
        <v>22</v>
      </c>
      <c r="M50" s="5"/>
    </row>
    <row r="51" spans="1:13" hidden="1" x14ac:dyDescent="0.35">
      <c r="A51" s="4" t="s">
        <v>84</v>
      </c>
      <c r="B51" s="4" t="s">
        <v>105</v>
      </c>
      <c r="C51" s="5" t="s">
        <v>113</v>
      </c>
      <c r="D51" s="5" t="s">
        <v>114</v>
      </c>
      <c r="E51" s="5"/>
      <c r="F51" s="6" t="s">
        <v>18</v>
      </c>
      <c r="G51" s="6">
        <v>18</v>
      </c>
      <c r="H51" s="6" t="s">
        <v>39</v>
      </c>
      <c r="I51" s="6">
        <v>30</v>
      </c>
      <c r="J51" s="6" t="s">
        <v>20</v>
      </c>
      <c r="K51" s="6"/>
      <c r="L51" s="6">
        <f t="shared" si="1"/>
        <v>22</v>
      </c>
      <c r="M51" s="5"/>
    </row>
    <row r="52" spans="1:13" hidden="1" x14ac:dyDescent="0.35">
      <c r="A52" s="4" t="s">
        <v>84</v>
      </c>
      <c r="B52" s="4" t="s">
        <v>105</v>
      </c>
      <c r="C52" s="5" t="s">
        <v>115</v>
      </c>
      <c r="D52" s="5" t="s">
        <v>116</v>
      </c>
      <c r="E52" s="5"/>
      <c r="F52" s="6" t="s">
        <v>18</v>
      </c>
      <c r="G52" s="6">
        <v>18</v>
      </c>
      <c r="H52" s="6" t="s">
        <v>39</v>
      </c>
      <c r="I52" s="6">
        <v>25</v>
      </c>
      <c r="J52" s="6" t="s">
        <v>20</v>
      </c>
      <c r="K52" s="6"/>
      <c r="L52" s="6">
        <f t="shared" si="1"/>
        <v>22</v>
      </c>
      <c r="M52" s="5"/>
    </row>
    <row r="53" spans="1:13" hidden="1" x14ac:dyDescent="0.35">
      <c r="A53" s="4" t="s">
        <v>84</v>
      </c>
      <c r="B53" s="4" t="s">
        <v>117</v>
      </c>
      <c r="C53" s="5" t="s">
        <v>118</v>
      </c>
      <c r="D53" s="5" t="s">
        <v>119</v>
      </c>
      <c r="E53" s="5"/>
      <c r="F53" s="6" t="s">
        <v>18</v>
      </c>
      <c r="G53" s="6">
        <v>20</v>
      </c>
      <c r="H53" s="6" t="s">
        <v>39</v>
      </c>
      <c r="I53" s="6">
        <v>30</v>
      </c>
      <c r="J53" s="6" t="s">
        <v>20</v>
      </c>
      <c r="K53" s="6"/>
      <c r="L53" s="6">
        <f t="shared" si="1"/>
        <v>22</v>
      </c>
      <c r="M53" s="5"/>
    </row>
    <row r="54" spans="1:13" hidden="1" x14ac:dyDescent="0.35">
      <c r="A54" s="4" t="s">
        <v>84</v>
      </c>
      <c r="B54" s="4" t="s">
        <v>117</v>
      </c>
      <c r="C54" s="5" t="s">
        <v>120</v>
      </c>
      <c r="D54" s="5" t="s">
        <v>121</v>
      </c>
      <c r="E54" s="5"/>
      <c r="F54" s="6" t="s">
        <v>18</v>
      </c>
      <c r="G54" s="6">
        <v>20</v>
      </c>
      <c r="H54" s="6" t="s">
        <v>39</v>
      </c>
      <c r="I54" s="6">
        <v>25</v>
      </c>
      <c r="J54" s="6" t="s">
        <v>20</v>
      </c>
      <c r="K54" s="6"/>
      <c r="L54" s="6">
        <f t="shared" si="1"/>
        <v>22</v>
      </c>
      <c r="M54" s="5"/>
    </row>
    <row r="55" spans="1:13" hidden="1" x14ac:dyDescent="0.35">
      <c r="A55" s="4" t="s">
        <v>84</v>
      </c>
      <c r="B55" s="4" t="s">
        <v>117</v>
      </c>
      <c r="C55" s="5" t="s">
        <v>122</v>
      </c>
      <c r="D55" s="5" t="s">
        <v>123</v>
      </c>
      <c r="E55" s="5"/>
      <c r="F55" s="6" t="s">
        <v>18</v>
      </c>
      <c r="G55" s="6">
        <v>20</v>
      </c>
      <c r="H55" s="6" t="s">
        <v>39</v>
      </c>
      <c r="I55" s="6">
        <v>25</v>
      </c>
      <c r="J55" s="6" t="s">
        <v>20</v>
      </c>
      <c r="K55" s="6"/>
      <c r="L55" s="6">
        <f t="shared" si="1"/>
        <v>22</v>
      </c>
      <c r="M55" s="5"/>
    </row>
    <row r="56" spans="1:13" hidden="1" x14ac:dyDescent="0.35">
      <c r="A56" s="4" t="s">
        <v>84</v>
      </c>
      <c r="B56" s="4" t="s">
        <v>117</v>
      </c>
      <c r="C56" s="5" t="s">
        <v>124</v>
      </c>
      <c r="D56" s="5" t="s">
        <v>125</v>
      </c>
      <c r="E56" s="5"/>
      <c r="F56" s="6"/>
      <c r="G56" s="6">
        <v>20</v>
      </c>
      <c r="H56" s="6" t="s">
        <v>39</v>
      </c>
      <c r="I56" s="6">
        <v>20</v>
      </c>
      <c r="J56" s="6" t="s">
        <v>20</v>
      </c>
      <c r="K56" s="6"/>
      <c r="L56" s="6">
        <f t="shared" si="1"/>
        <v>22</v>
      </c>
      <c r="M56" s="5" t="s">
        <v>126</v>
      </c>
    </row>
    <row r="57" spans="1:13" ht="23" hidden="1" x14ac:dyDescent="0.35">
      <c r="A57" s="4" t="s">
        <v>84</v>
      </c>
      <c r="B57" s="4" t="s">
        <v>127</v>
      </c>
      <c r="C57" s="5" t="s">
        <v>128</v>
      </c>
      <c r="D57" s="5" t="s">
        <v>129</v>
      </c>
      <c r="E57" s="5"/>
      <c r="F57" s="6" t="s">
        <v>18</v>
      </c>
      <c r="G57" s="6">
        <v>13</v>
      </c>
      <c r="H57" s="6" t="s">
        <v>130</v>
      </c>
      <c r="I57" s="6">
        <v>30</v>
      </c>
      <c r="J57" s="6" t="s">
        <v>20</v>
      </c>
      <c r="K57" s="6"/>
      <c r="L57" s="6">
        <f t="shared" si="1"/>
        <v>22</v>
      </c>
      <c r="M57" s="5"/>
    </row>
    <row r="58" spans="1:13" hidden="1" x14ac:dyDescent="0.35">
      <c r="A58" s="4" t="s">
        <v>84</v>
      </c>
      <c r="B58" s="4" t="s">
        <v>127</v>
      </c>
      <c r="C58" s="5" t="s">
        <v>60</v>
      </c>
      <c r="D58" s="5" t="s">
        <v>131</v>
      </c>
      <c r="E58" s="5"/>
      <c r="F58" s="6" t="s">
        <v>18</v>
      </c>
      <c r="G58" s="6">
        <v>13</v>
      </c>
      <c r="H58" s="6" t="s">
        <v>130</v>
      </c>
      <c r="I58" s="6">
        <v>30</v>
      </c>
      <c r="J58" s="6" t="s">
        <v>20</v>
      </c>
      <c r="K58" s="6"/>
      <c r="L58" s="6">
        <f t="shared" si="1"/>
        <v>22</v>
      </c>
      <c r="M58" s="5"/>
    </row>
    <row r="59" spans="1:13" ht="23" hidden="1" x14ac:dyDescent="0.35">
      <c r="A59" s="4" t="s">
        <v>84</v>
      </c>
      <c r="B59" s="4" t="s">
        <v>127</v>
      </c>
      <c r="C59" s="5" t="s">
        <v>132</v>
      </c>
      <c r="D59" s="5" t="s">
        <v>133</v>
      </c>
      <c r="E59" s="5"/>
      <c r="F59" s="6" t="s">
        <v>18</v>
      </c>
      <c r="G59" s="6">
        <v>13</v>
      </c>
      <c r="H59" s="6" t="s">
        <v>130</v>
      </c>
      <c r="I59" s="6">
        <v>20</v>
      </c>
      <c r="J59" s="6" t="s">
        <v>20</v>
      </c>
      <c r="K59" s="6"/>
      <c r="L59" s="6">
        <f t="shared" si="1"/>
        <v>22</v>
      </c>
      <c r="M59" s="5"/>
    </row>
    <row r="60" spans="1:13" hidden="1" x14ac:dyDescent="0.35">
      <c r="A60" s="4" t="s">
        <v>134</v>
      </c>
      <c r="B60" s="4" t="s">
        <v>135</v>
      </c>
      <c r="C60" s="5" t="s">
        <v>136</v>
      </c>
      <c r="D60" s="5" t="s">
        <v>137</v>
      </c>
      <c r="E60" s="5"/>
      <c r="F60" s="6"/>
      <c r="G60" s="6">
        <v>43</v>
      </c>
      <c r="H60" s="6" t="s">
        <v>19</v>
      </c>
      <c r="I60" s="6">
        <v>30</v>
      </c>
      <c r="J60" s="6" t="s">
        <v>20</v>
      </c>
      <c r="K60" s="6"/>
      <c r="L60" s="6">
        <f t="shared" si="1"/>
        <v>22</v>
      </c>
      <c r="M60" s="5"/>
    </row>
    <row r="61" spans="1:13" ht="23" hidden="1" x14ac:dyDescent="0.35">
      <c r="A61" s="4" t="s">
        <v>134</v>
      </c>
      <c r="B61" s="4" t="s">
        <v>135</v>
      </c>
      <c r="C61" s="5" t="s">
        <v>138</v>
      </c>
      <c r="D61" s="5" t="s">
        <v>139</v>
      </c>
      <c r="E61" s="5"/>
      <c r="F61" s="6" t="s">
        <v>18</v>
      </c>
      <c r="G61" s="6">
        <v>43</v>
      </c>
      <c r="H61" s="6" t="s">
        <v>19</v>
      </c>
      <c r="I61" s="6">
        <v>35</v>
      </c>
      <c r="J61" s="6" t="s">
        <v>20</v>
      </c>
      <c r="K61" s="6"/>
      <c r="L61" s="6">
        <f t="shared" si="1"/>
        <v>22</v>
      </c>
      <c r="M61" s="5"/>
    </row>
    <row r="62" spans="1:13" hidden="1" x14ac:dyDescent="0.35">
      <c r="A62" s="4" t="s">
        <v>134</v>
      </c>
      <c r="B62" s="4" t="s">
        <v>135</v>
      </c>
      <c r="C62" s="5" t="s">
        <v>140</v>
      </c>
      <c r="D62" s="5" t="s">
        <v>141</v>
      </c>
      <c r="E62" s="5"/>
      <c r="F62" s="6" t="s">
        <v>18</v>
      </c>
      <c r="G62" s="6">
        <v>43</v>
      </c>
      <c r="H62" s="6" t="s">
        <v>19</v>
      </c>
      <c r="I62" s="6">
        <v>30</v>
      </c>
      <c r="J62" s="6" t="s">
        <v>20</v>
      </c>
      <c r="K62" s="6"/>
      <c r="L62" s="6">
        <f t="shared" si="1"/>
        <v>22</v>
      </c>
      <c r="M62" s="5"/>
    </row>
    <row r="63" spans="1:13" ht="23" hidden="1" x14ac:dyDescent="0.35">
      <c r="A63" s="4" t="s">
        <v>134</v>
      </c>
      <c r="B63" s="4" t="s">
        <v>135</v>
      </c>
      <c r="C63" s="5" t="s">
        <v>142</v>
      </c>
      <c r="D63" s="5" t="s">
        <v>143</v>
      </c>
      <c r="E63" s="5"/>
      <c r="F63" s="6" t="s">
        <v>18</v>
      </c>
      <c r="G63" s="6">
        <v>43</v>
      </c>
      <c r="H63" s="6" t="s">
        <v>19</v>
      </c>
      <c r="I63" s="6">
        <v>40</v>
      </c>
      <c r="J63" s="6" t="s">
        <v>20</v>
      </c>
      <c r="K63" s="6"/>
      <c r="L63" s="6">
        <f t="shared" si="1"/>
        <v>22</v>
      </c>
      <c r="M63" s="5"/>
    </row>
    <row r="64" spans="1:13" hidden="1" x14ac:dyDescent="0.35">
      <c r="A64" s="4" t="s">
        <v>134</v>
      </c>
      <c r="B64" s="4" t="s">
        <v>135</v>
      </c>
      <c r="C64" s="5" t="s">
        <v>144</v>
      </c>
      <c r="D64" s="5" t="s">
        <v>145</v>
      </c>
      <c r="E64" s="5"/>
      <c r="F64" s="6" t="s">
        <v>18</v>
      </c>
      <c r="G64" s="6">
        <v>43</v>
      </c>
      <c r="H64" s="6" t="s">
        <v>19</v>
      </c>
      <c r="I64" s="6">
        <v>30</v>
      </c>
      <c r="J64" s="6" t="s">
        <v>20</v>
      </c>
      <c r="K64" s="6"/>
      <c r="L64" s="6">
        <f t="shared" si="1"/>
        <v>22</v>
      </c>
      <c r="M64" s="5"/>
    </row>
    <row r="65" spans="1:13" hidden="1" x14ac:dyDescent="0.35">
      <c r="A65" s="4" t="s">
        <v>134</v>
      </c>
      <c r="B65" s="4" t="s">
        <v>135</v>
      </c>
      <c r="C65" s="5" t="s">
        <v>146</v>
      </c>
      <c r="D65" s="5" t="s">
        <v>147</v>
      </c>
      <c r="E65" s="5"/>
      <c r="F65" s="6" t="s">
        <v>18</v>
      </c>
      <c r="G65" s="6">
        <v>43</v>
      </c>
      <c r="H65" s="6" t="s">
        <v>19</v>
      </c>
      <c r="I65" s="6">
        <v>30</v>
      </c>
      <c r="J65" s="6" t="s">
        <v>20</v>
      </c>
      <c r="K65" s="6"/>
      <c r="L65" s="6">
        <f t="shared" si="1"/>
        <v>22</v>
      </c>
      <c r="M65" s="5"/>
    </row>
    <row r="66" spans="1:13" hidden="1" x14ac:dyDescent="0.35">
      <c r="A66" s="4" t="s">
        <v>134</v>
      </c>
      <c r="B66" s="4" t="s">
        <v>135</v>
      </c>
      <c r="C66" s="5" t="s">
        <v>148</v>
      </c>
      <c r="D66" s="5" t="s">
        <v>149</v>
      </c>
      <c r="E66" s="5"/>
      <c r="F66" s="6"/>
      <c r="G66" s="6">
        <v>43</v>
      </c>
      <c r="H66" s="6" t="s">
        <v>19</v>
      </c>
      <c r="I66" s="6">
        <v>20</v>
      </c>
      <c r="J66" s="6" t="s">
        <v>20</v>
      </c>
      <c r="K66" s="6"/>
      <c r="L66" s="6">
        <f t="shared" si="1"/>
        <v>22</v>
      </c>
      <c r="M66" s="5"/>
    </row>
    <row r="67" spans="1:13" hidden="1" x14ac:dyDescent="0.35">
      <c r="A67" s="4" t="s">
        <v>134</v>
      </c>
      <c r="B67" s="4" t="s">
        <v>135</v>
      </c>
      <c r="C67" s="5" t="s">
        <v>150</v>
      </c>
      <c r="D67" s="5" t="s">
        <v>151</v>
      </c>
      <c r="E67" s="5"/>
      <c r="F67" s="6"/>
      <c r="G67" s="6">
        <v>43</v>
      </c>
      <c r="H67" s="6" t="s">
        <v>19</v>
      </c>
      <c r="I67" s="6">
        <v>25</v>
      </c>
      <c r="J67" s="6" t="s">
        <v>20</v>
      </c>
      <c r="K67" s="6"/>
      <c r="L67" s="6">
        <f t="shared" si="1"/>
        <v>22</v>
      </c>
      <c r="M67" s="5"/>
    </row>
    <row r="68" spans="1:13" hidden="1" x14ac:dyDescent="0.35">
      <c r="A68" s="4" t="s">
        <v>134</v>
      </c>
      <c r="B68" s="4" t="s">
        <v>135</v>
      </c>
      <c r="C68" s="5" t="s">
        <v>152</v>
      </c>
      <c r="D68" s="5" t="s">
        <v>153</v>
      </c>
      <c r="E68" s="5"/>
      <c r="F68" s="6" t="s">
        <v>18</v>
      </c>
      <c r="G68" s="6">
        <v>43</v>
      </c>
      <c r="H68" s="6" t="s">
        <v>19</v>
      </c>
      <c r="I68" s="6">
        <v>25</v>
      </c>
      <c r="J68" s="6" t="s">
        <v>20</v>
      </c>
      <c r="K68" s="6"/>
      <c r="L68" s="6">
        <f t="shared" si="1"/>
        <v>22</v>
      </c>
      <c r="M68" s="5"/>
    </row>
    <row r="69" spans="1:13" hidden="1" x14ac:dyDescent="0.35">
      <c r="A69" s="4" t="s">
        <v>134</v>
      </c>
      <c r="B69" s="4" t="s">
        <v>135</v>
      </c>
      <c r="C69" s="5" t="s">
        <v>154</v>
      </c>
      <c r="D69" s="5" t="s">
        <v>155</v>
      </c>
      <c r="E69" s="5"/>
      <c r="F69" s="6" t="s">
        <v>18</v>
      </c>
      <c r="G69" s="6">
        <v>43</v>
      </c>
      <c r="H69" s="6" t="s">
        <v>19</v>
      </c>
      <c r="I69" s="6">
        <v>20</v>
      </c>
      <c r="J69" s="6" t="s">
        <v>20</v>
      </c>
      <c r="K69" s="6"/>
      <c r="L69" s="6">
        <f t="shared" ref="L69:L100" si="2">(IF(J69="Partial",1,IF(J69="Not Started",2,IF(J69="Covered",3,2))))*10+(IF(K69="High",1,IF(K69="Medium",2,IF(K69="Low",3,2))))</f>
        <v>22</v>
      </c>
      <c r="M69" s="5"/>
    </row>
    <row r="70" spans="1:13" hidden="1" x14ac:dyDescent="0.35">
      <c r="A70" s="4" t="s">
        <v>134</v>
      </c>
      <c r="B70" s="4" t="s">
        <v>156</v>
      </c>
      <c r="C70" s="5" t="s">
        <v>157</v>
      </c>
      <c r="D70" s="5" t="s">
        <v>158</v>
      </c>
      <c r="E70" s="5"/>
      <c r="F70" s="6" t="s">
        <v>18</v>
      </c>
      <c r="G70" s="6">
        <v>30</v>
      </c>
      <c r="H70" s="6" t="s">
        <v>19</v>
      </c>
      <c r="I70" s="6">
        <v>35</v>
      </c>
      <c r="J70" s="6" t="s">
        <v>20</v>
      </c>
      <c r="K70" s="6"/>
      <c r="L70" s="6">
        <f t="shared" si="2"/>
        <v>22</v>
      </c>
      <c r="M70" s="5"/>
    </row>
    <row r="71" spans="1:13" hidden="1" x14ac:dyDescent="0.35">
      <c r="A71" s="4" t="s">
        <v>134</v>
      </c>
      <c r="B71" s="4" t="s">
        <v>156</v>
      </c>
      <c r="C71" s="5" t="s">
        <v>159</v>
      </c>
      <c r="D71" s="5" t="s">
        <v>160</v>
      </c>
      <c r="E71" s="5"/>
      <c r="F71" s="6" t="s">
        <v>18</v>
      </c>
      <c r="G71" s="6">
        <v>30</v>
      </c>
      <c r="H71" s="6" t="s">
        <v>19</v>
      </c>
      <c r="I71" s="6">
        <v>30</v>
      </c>
      <c r="J71" s="6" t="s">
        <v>20</v>
      </c>
      <c r="K71" s="6"/>
      <c r="L71" s="6">
        <f t="shared" si="2"/>
        <v>22</v>
      </c>
      <c r="M71" s="5"/>
    </row>
    <row r="72" spans="1:13" ht="23" hidden="1" x14ac:dyDescent="0.35">
      <c r="A72" s="4" t="s">
        <v>134</v>
      </c>
      <c r="B72" s="4" t="s">
        <v>156</v>
      </c>
      <c r="C72" s="5" t="s">
        <v>161</v>
      </c>
      <c r="D72" s="5" t="s">
        <v>162</v>
      </c>
      <c r="E72" s="5"/>
      <c r="F72" s="6" t="s">
        <v>18</v>
      </c>
      <c r="G72" s="6">
        <v>30</v>
      </c>
      <c r="H72" s="6" t="s">
        <v>19</v>
      </c>
      <c r="I72" s="6">
        <v>30</v>
      </c>
      <c r="J72" s="6" t="s">
        <v>20</v>
      </c>
      <c r="K72" s="6"/>
      <c r="L72" s="6">
        <f t="shared" si="2"/>
        <v>22</v>
      </c>
      <c r="M72" s="5"/>
    </row>
    <row r="73" spans="1:13" hidden="1" x14ac:dyDescent="0.35">
      <c r="A73" s="4" t="s">
        <v>134</v>
      </c>
      <c r="B73" s="4" t="s">
        <v>156</v>
      </c>
      <c r="C73" s="5" t="s">
        <v>163</v>
      </c>
      <c r="D73" s="5" t="s">
        <v>164</v>
      </c>
      <c r="E73" s="5"/>
      <c r="F73" s="6" t="s">
        <v>18</v>
      </c>
      <c r="G73" s="6">
        <v>30</v>
      </c>
      <c r="H73" s="6" t="s">
        <v>19</v>
      </c>
      <c r="I73" s="6">
        <v>25</v>
      </c>
      <c r="J73" s="6" t="s">
        <v>20</v>
      </c>
      <c r="K73" s="6"/>
      <c r="L73" s="6">
        <f t="shared" si="2"/>
        <v>22</v>
      </c>
      <c r="M73" s="5"/>
    </row>
    <row r="74" spans="1:13" hidden="1" x14ac:dyDescent="0.35">
      <c r="A74" s="4" t="s">
        <v>134</v>
      </c>
      <c r="B74" s="4" t="s">
        <v>156</v>
      </c>
      <c r="C74" s="5" t="s">
        <v>165</v>
      </c>
      <c r="D74" s="5" t="s">
        <v>166</v>
      </c>
      <c r="E74" s="5"/>
      <c r="F74" s="6" t="s">
        <v>18</v>
      </c>
      <c r="G74" s="6">
        <v>30</v>
      </c>
      <c r="H74" s="6" t="s">
        <v>19</v>
      </c>
      <c r="I74" s="6">
        <v>30</v>
      </c>
      <c r="J74" s="6" t="s">
        <v>20</v>
      </c>
      <c r="K74" s="6"/>
      <c r="L74" s="6">
        <f t="shared" si="2"/>
        <v>22</v>
      </c>
      <c r="M74" s="5"/>
    </row>
    <row r="75" spans="1:13" hidden="1" x14ac:dyDescent="0.35">
      <c r="A75" s="4" t="s">
        <v>134</v>
      </c>
      <c r="B75" s="4" t="s">
        <v>156</v>
      </c>
      <c r="C75" s="5" t="s">
        <v>60</v>
      </c>
      <c r="D75" s="5" t="s">
        <v>167</v>
      </c>
      <c r="E75" s="5"/>
      <c r="F75" s="6"/>
      <c r="G75" s="6">
        <v>30</v>
      </c>
      <c r="H75" s="6" t="s">
        <v>19</v>
      </c>
      <c r="I75" s="6">
        <v>25</v>
      </c>
      <c r="J75" s="6" t="s">
        <v>20</v>
      </c>
      <c r="K75" s="6"/>
      <c r="L75" s="6">
        <f t="shared" si="2"/>
        <v>22</v>
      </c>
      <c r="M75" s="5"/>
    </row>
    <row r="76" spans="1:13" hidden="1" x14ac:dyDescent="0.35">
      <c r="A76" s="4" t="s">
        <v>134</v>
      </c>
      <c r="B76" s="4" t="s">
        <v>156</v>
      </c>
      <c r="C76" s="5" t="s">
        <v>168</v>
      </c>
      <c r="D76" s="5" t="s">
        <v>169</v>
      </c>
      <c r="E76" s="5"/>
      <c r="F76" s="6"/>
      <c r="G76" s="6">
        <v>30</v>
      </c>
      <c r="H76" s="6" t="s">
        <v>19</v>
      </c>
      <c r="I76" s="6">
        <v>20</v>
      </c>
      <c r="J76" s="6" t="s">
        <v>20</v>
      </c>
      <c r="K76" s="6"/>
      <c r="L76" s="6">
        <f t="shared" si="2"/>
        <v>22</v>
      </c>
      <c r="M76" s="5"/>
    </row>
    <row r="77" spans="1:13" hidden="1" x14ac:dyDescent="0.35">
      <c r="A77" s="4" t="s">
        <v>134</v>
      </c>
      <c r="B77" s="4" t="s">
        <v>156</v>
      </c>
      <c r="C77" s="5" t="s">
        <v>170</v>
      </c>
      <c r="D77" s="5" t="s">
        <v>171</v>
      </c>
      <c r="E77" s="5"/>
      <c r="F77" s="6"/>
      <c r="G77" s="6">
        <v>30</v>
      </c>
      <c r="H77" s="6" t="s">
        <v>19</v>
      </c>
      <c r="I77" s="6">
        <v>25</v>
      </c>
      <c r="J77" s="6" t="s">
        <v>20</v>
      </c>
      <c r="K77" s="6"/>
      <c r="L77" s="6">
        <f t="shared" si="2"/>
        <v>22</v>
      </c>
      <c r="M77" s="5"/>
    </row>
    <row r="78" spans="1:13" hidden="1" x14ac:dyDescent="0.35">
      <c r="A78" s="4" t="s">
        <v>134</v>
      </c>
      <c r="B78" s="4" t="s">
        <v>156</v>
      </c>
      <c r="C78" s="5" t="s">
        <v>172</v>
      </c>
      <c r="D78" s="5" t="s">
        <v>173</v>
      </c>
      <c r="E78" s="5"/>
      <c r="F78" s="6"/>
      <c r="G78" s="6">
        <v>30</v>
      </c>
      <c r="H78" s="6" t="s">
        <v>19</v>
      </c>
      <c r="I78" s="6">
        <v>20</v>
      </c>
      <c r="J78" s="6" t="s">
        <v>20</v>
      </c>
      <c r="K78" s="6"/>
      <c r="L78" s="6">
        <f t="shared" si="2"/>
        <v>22</v>
      </c>
      <c r="M78" s="5"/>
    </row>
    <row r="79" spans="1:13" hidden="1" x14ac:dyDescent="0.35">
      <c r="A79" s="4" t="s">
        <v>134</v>
      </c>
      <c r="B79" s="4" t="s">
        <v>174</v>
      </c>
      <c r="C79" s="5" t="s">
        <v>175</v>
      </c>
      <c r="D79" s="5" t="s">
        <v>176</v>
      </c>
      <c r="E79" s="5"/>
      <c r="F79" s="6" t="s">
        <v>18</v>
      </c>
      <c r="G79" s="6">
        <v>15</v>
      </c>
      <c r="H79" s="6" t="s">
        <v>130</v>
      </c>
      <c r="I79" s="6">
        <v>25</v>
      </c>
      <c r="J79" s="6" t="s">
        <v>20</v>
      </c>
      <c r="K79" s="6"/>
      <c r="L79" s="6">
        <f t="shared" si="2"/>
        <v>22</v>
      </c>
      <c r="M79" s="5"/>
    </row>
    <row r="80" spans="1:13" hidden="1" x14ac:dyDescent="0.35">
      <c r="A80" s="4" t="s">
        <v>134</v>
      </c>
      <c r="B80" s="4" t="s">
        <v>174</v>
      </c>
      <c r="C80" s="5" t="s">
        <v>177</v>
      </c>
      <c r="D80" s="5" t="s">
        <v>178</v>
      </c>
      <c r="E80" s="5"/>
      <c r="F80" s="6" t="s">
        <v>18</v>
      </c>
      <c r="G80" s="6">
        <v>15</v>
      </c>
      <c r="H80" s="6" t="s">
        <v>130</v>
      </c>
      <c r="I80" s="6">
        <v>30</v>
      </c>
      <c r="J80" s="6" t="s">
        <v>20</v>
      </c>
      <c r="K80" s="6"/>
      <c r="L80" s="6">
        <f t="shared" si="2"/>
        <v>22</v>
      </c>
      <c r="M80" s="5"/>
    </row>
    <row r="81" spans="1:13" hidden="1" x14ac:dyDescent="0.35">
      <c r="A81" s="4" t="s">
        <v>134</v>
      </c>
      <c r="B81" s="4" t="s">
        <v>174</v>
      </c>
      <c r="C81" s="5" t="s">
        <v>179</v>
      </c>
      <c r="D81" s="5" t="s">
        <v>180</v>
      </c>
      <c r="E81" s="5"/>
      <c r="F81" s="6" t="s">
        <v>18</v>
      </c>
      <c r="G81" s="6">
        <v>15</v>
      </c>
      <c r="H81" s="6" t="s">
        <v>130</v>
      </c>
      <c r="I81" s="6">
        <v>25</v>
      </c>
      <c r="J81" s="6" t="s">
        <v>20</v>
      </c>
      <c r="K81" s="6"/>
      <c r="L81" s="6">
        <f t="shared" si="2"/>
        <v>22</v>
      </c>
      <c r="M81" s="5"/>
    </row>
    <row r="82" spans="1:13" hidden="1" x14ac:dyDescent="0.35">
      <c r="A82" s="4" t="s">
        <v>134</v>
      </c>
      <c r="B82" s="4" t="s">
        <v>174</v>
      </c>
      <c r="C82" s="5" t="s">
        <v>181</v>
      </c>
      <c r="D82" s="5" t="s">
        <v>182</v>
      </c>
      <c r="E82" s="5"/>
      <c r="F82" s="6"/>
      <c r="G82" s="6">
        <v>15</v>
      </c>
      <c r="H82" s="6" t="s">
        <v>130</v>
      </c>
      <c r="I82" s="6">
        <v>25</v>
      </c>
      <c r="J82" s="6" t="s">
        <v>20</v>
      </c>
      <c r="K82" s="6"/>
      <c r="L82" s="6">
        <f t="shared" si="2"/>
        <v>22</v>
      </c>
      <c r="M82" s="5"/>
    </row>
    <row r="83" spans="1:13" hidden="1" x14ac:dyDescent="0.35">
      <c r="A83" s="4" t="s">
        <v>134</v>
      </c>
      <c r="B83" s="4" t="s">
        <v>183</v>
      </c>
      <c r="C83" s="5" t="s">
        <v>184</v>
      </c>
      <c r="D83" s="5" t="s">
        <v>185</v>
      </c>
      <c r="E83" s="5"/>
      <c r="F83" s="6" t="s">
        <v>18</v>
      </c>
      <c r="G83" s="6">
        <v>12</v>
      </c>
      <c r="H83" s="6" t="s">
        <v>130</v>
      </c>
      <c r="I83" s="6">
        <v>30</v>
      </c>
      <c r="J83" s="6" t="s">
        <v>20</v>
      </c>
      <c r="K83" s="6"/>
      <c r="L83" s="6">
        <f t="shared" si="2"/>
        <v>22</v>
      </c>
      <c r="M83" s="5"/>
    </row>
    <row r="84" spans="1:13" hidden="1" x14ac:dyDescent="0.35">
      <c r="A84" s="4" t="s">
        <v>134</v>
      </c>
      <c r="B84" s="4" t="s">
        <v>183</v>
      </c>
      <c r="C84" s="5" t="s">
        <v>186</v>
      </c>
      <c r="D84" s="5" t="s">
        <v>187</v>
      </c>
      <c r="E84" s="5"/>
      <c r="F84" s="6"/>
      <c r="G84" s="6">
        <v>12</v>
      </c>
      <c r="H84" s="6" t="s">
        <v>130</v>
      </c>
      <c r="I84" s="6">
        <v>25</v>
      </c>
      <c r="J84" s="6" t="s">
        <v>20</v>
      </c>
      <c r="K84" s="6"/>
      <c r="L84" s="6">
        <f t="shared" si="2"/>
        <v>22</v>
      </c>
      <c r="M84" s="5"/>
    </row>
    <row r="85" spans="1:13" ht="23" hidden="1" x14ac:dyDescent="0.35">
      <c r="A85" s="4" t="s">
        <v>134</v>
      </c>
      <c r="B85" s="4" t="s">
        <v>183</v>
      </c>
      <c r="C85" s="5" t="s">
        <v>188</v>
      </c>
      <c r="D85" s="5" t="s">
        <v>189</v>
      </c>
      <c r="E85" s="5"/>
      <c r="F85" s="6" t="s">
        <v>18</v>
      </c>
      <c r="G85" s="6">
        <v>12</v>
      </c>
      <c r="H85" s="6" t="s">
        <v>130</v>
      </c>
      <c r="I85" s="6">
        <v>30</v>
      </c>
      <c r="J85" s="6" t="s">
        <v>20</v>
      </c>
      <c r="K85" s="6"/>
      <c r="L85" s="6">
        <f t="shared" si="2"/>
        <v>22</v>
      </c>
      <c r="M85" s="5"/>
    </row>
    <row r="86" spans="1:13" hidden="1" x14ac:dyDescent="0.35">
      <c r="A86" s="4" t="s">
        <v>190</v>
      </c>
      <c r="B86" s="4" t="s">
        <v>191</v>
      </c>
      <c r="C86" s="5" t="s">
        <v>192</v>
      </c>
      <c r="D86" s="5" t="s">
        <v>193</v>
      </c>
      <c r="E86" s="5"/>
      <c r="F86" s="6" t="s">
        <v>18</v>
      </c>
      <c r="G86" s="6">
        <v>43</v>
      </c>
      <c r="H86" s="6" t="s">
        <v>19</v>
      </c>
      <c r="I86" s="6">
        <v>35</v>
      </c>
      <c r="J86" s="6" t="s">
        <v>20</v>
      </c>
      <c r="K86" s="6"/>
      <c r="L86" s="6">
        <f t="shared" si="2"/>
        <v>22</v>
      </c>
      <c r="M86" s="5"/>
    </row>
    <row r="87" spans="1:13" ht="23" hidden="1" x14ac:dyDescent="0.35">
      <c r="A87" s="4" t="s">
        <v>190</v>
      </c>
      <c r="B87" s="4" t="s">
        <v>191</v>
      </c>
      <c r="C87" s="5" t="s">
        <v>194</v>
      </c>
      <c r="D87" s="5" t="s">
        <v>195</v>
      </c>
      <c r="E87" s="5"/>
      <c r="F87" s="6" t="s">
        <v>18</v>
      </c>
      <c r="G87" s="6">
        <v>43</v>
      </c>
      <c r="H87" s="6" t="s">
        <v>19</v>
      </c>
      <c r="I87" s="6">
        <v>30</v>
      </c>
      <c r="J87" s="6" t="s">
        <v>20</v>
      </c>
      <c r="K87" s="6"/>
      <c r="L87" s="6">
        <f t="shared" si="2"/>
        <v>22</v>
      </c>
      <c r="M87" s="5"/>
    </row>
    <row r="88" spans="1:13" hidden="1" x14ac:dyDescent="0.35">
      <c r="A88" s="4" t="s">
        <v>190</v>
      </c>
      <c r="B88" s="4" t="s">
        <v>191</v>
      </c>
      <c r="C88" s="5" t="s">
        <v>196</v>
      </c>
      <c r="D88" s="5" t="s">
        <v>197</v>
      </c>
      <c r="E88" s="5"/>
      <c r="F88" s="6" t="s">
        <v>18</v>
      </c>
      <c r="G88" s="6">
        <v>43</v>
      </c>
      <c r="H88" s="6" t="s">
        <v>19</v>
      </c>
      <c r="I88" s="6">
        <v>30</v>
      </c>
      <c r="J88" s="6" t="s">
        <v>20</v>
      </c>
      <c r="K88" s="6"/>
      <c r="L88" s="6">
        <f t="shared" si="2"/>
        <v>22</v>
      </c>
      <c r="M88" s="5"/>
    </row>
    <row r="89" spans="1:13" ht="23" hidden="1" x14ac:dyDescent="0.35">
      <c r="A89" s="4" t="s">
        <v>190</v>
      </c>
      <c r="B89" s="4" t="s">
        <v>191</v>
      </c>
      <c r="C89" s="5" t="s">
        <v>198</v>
      </c>
      <c r="D89" s="5" t="s">
        <v>199</v>
      </c>
      <c r="E89" s="5"/>
      <c r="F89" s="6" t="s">
        <v>18</v>
      </c>
      <c r="G89" s="6">
        <v>43</v>
      </c>
      <c r="H89" s="6" t="s">
        <v>19</v>
      </c>
      <c r="I89" s="6">
        <v>40</v>
      </c>
      <c r="J89" s="6" t="s">
        <v>20</v>
      </c>
      <c r="K89" s="6"/>
      <c r="L89" s="6">
        <f t="shared" si="2"/>
        <v>22</v>
      </c>
      <c r="M89" s="5"/>
    </row>
    <row r="90" spans="1:13" hidden="1" x14ac:dyDescent="0.35">
      <c r="A90" s="4" t="s">
        <v>190</v>
      </c>
      <c r="B90" s="4" t="s">
        <v>191</v>
      </c>
      <c r="C90" s="5" t="s">
        <v>200</v>
      </c>
      <c r="D90" s="5" t="s">
        <v>201</v>
      </c>
      <c r="E90" s="5"/>
      <c r="F90" s="6" t="s">
        <v>18</v>
      </c>
      <c r="G90" s="6">
        <v>43</v>
      </c>
      <c r="H90" s="6" t="s">
        <v>19</v>
      </c>
      <c r="I90" s="6">
        <v>30</v>
      </c>
      <c r="J90" s="6" t="s">
        <v>20</v>
      </c>
      <c r="K90" s="6"/>
      <c r="L90" s="6">
        <f t="shared" si="2"/>
        <v>22</v>
      </c>
      <c r="M90" s="5"/>
    </row>
    <row r="91" spans="1:13" hidden="1" x14ac:dyDescent="0.35">
      <c r="A91" s="4" t="s">
        <v>190</v>
      </c>
      <c r="B91" s="4" t="s">
        <v>191</v>
      </c>
      <c r="C91" s="5" t="s">
        <v>202</v>
      </c>
      <c r="D91" s="5" t="s">
        <v>203</v>
      </c>
      <c r="E91" s="5"/>
      <c r="F91" s="6" t="s">
        <v>18</v>
      </c>
      <c r="G91" s="6">
        <v>43</v>
      </c>
      <c r="H91" s="6" t="s">
        <v>19</v>
      </c>
      <c r="I91" s="6">
        <v>25</v>
      </c>
      <c r="J91" s="6" t="s">
        <v>20</v>
      </c>
      <c r="K91" s="6"/>
      <c r="L91" s="6">
        <f t="shared" si="2"/>
        <v>22</v>
      </c>
      <c r="M91" s="5"/>
    </row>
    <row r="92" spans="1:13" hidden="1" x14ac:dyDescent="0.35">
      <c r="A92" s="4" t="s">
        <v>190</v>
      </c>
      <c r="B92" s="4" t="s">
        <v>191</v>
      </c>
      <c r="C92" s="5" t="s">
        <v>204</v>
      </c>
      <c r="D92" s="5" t="s">
        <v>205</v>
      </c>
      <c r="E92" s="5"/>
      <c r="F92" s="6"/>
      <c r="G92" s="6">
        <v>43</v>
      </c>
      <c r="H92" s="6" t="s">
        <v>19</v>
      </c>
      <c r="I92" s="6">
        <v>20</v>
      </c>
      <c r="J92" s="6" t="s">
        <v>20</v>
      </c>
      <c r="K92" s="6"/>
      <c r="L92" s="6">
        <f t="shared" si="2"/>
        <v>22</v>
      </c>
      <c r="M92" s="5"/>
    </row>
    <row r="93" spans="1:13" hidden="1" x14ac:dyDescent="0.35">
      <c r="A93" s="4" t="s">
        <v>190</v>
      </c>
      <c r="B93" s="4" t="s">
        <v>206</v>
      </c>
      <c r="C93" s="5" t="s">
        <v>207</v>
      </c>
      <c r="D93" s="5" t="s">
        <v>208</v>
      </c>
      <c r="E93" s="5"/>
      <c r="F93" s="6" t="s">
        <v>18</v>
      </c>
      <c r="G93" s="6">
        <v>28</v>
      </c>
      <c r="H93" s="6" t="s">
        <v>39</v>
      </c>
      <c r="I93" s="6">
        <v>30</v>
      </c>
      <c r="J93" s="6" t="s">
        <v>20</v>
      </c>
      <c r="K93" s="6"/>
      <c r="L93" s="6">
        <f t="shared" si="2"/>
        <v>22</v>
      </c>
      <c r="M93" s="5"/>
    </row>
    <row r="94" spans="1:13" hidden="1" x14ac:dyDescent="0.35">
      <c r="A94" s="4" t="s">
        <v>190</v>
      </c>
      <c r="B94" s="4" t="s">
        <v>206</v>
      </c>
      <c r="C94" s="5" t="s">
        <v>209</v>
      </c>
      <c r="D94" s="5" t="s">
        <v>210</v>
      </c>
      <c r="E94" s="5"/>
      <c r="F94" s="6" t="s">
        <v>18</v>
      </c>
      <c r="G94" s="6">
        <v>28</v>
      </c>
      <c r="H94" s="6" t="s">
        <v>39</v>
      </c>
      <c r="I94" s="6">
        <v>20</v>
      </c>
      <c r="J94" s="6" t="s">
        <v>20</v>
      </c>
      <c r="K94" s="6"/>
      <c r="L94" s="6">
        <f t="shared" si="2"/>
        <v>22</v>
      </c>
      <c r="M94" s="5"/>
    </row>
    <row r="95" spans="1:13" ht="23" hidden="1" x14ac:dyDescent="0.35">
      <c r="A95" s="4" t="s">
        <v>190</v>
      </c>
      <c r="B95" s="4" t="s">
        <v>206</v>
      </c>
      <c r="C95" s="5" t="s">
        <v>211</v>
      </c>
      <c r="D95" s="5" t="s">
        <v>212</v>
      </c>
      <c r="E95" s="5"/>
      <c r="F95" s="6"/>
      <c r="G95" s="6">
        <v>28</v>
      </c>
      <c r="H95" s="6" t="s">
        <v>39</v>
      </c>
      <c r="I95" s="6">
        <v>25</v>
      </c>
      <c r="J95" s="6" t="s">
        <v>20</v>
      </c>
      <c r="K95" s="6"/>
      <c r="L95" s="6">
        <f t="shared" si="2"/>
        <v>22</v>
      </c>
      <c r="M95" s="5"/>
    </row>
    <row r="96" spans="1:13" hidden="1" x14ac:dyDescent="0.35">
      <c r="A96" s="4" t="s">
        <v>190</v>
      </c>
      <c r="B96" s="4" t="s">
        <v>206</v>
      </c>
      <c r="C96" s="5" t="s">
        <v>213</v>
      </c>
      <c r="D96" s="5" t="s">
        <v>214</v>
      </c>
      <c r="E96" s="5"/>
      <c r="F96" s="6" t="s">
        <v>18</v>
      </c>
      <c r="G96" s="6">
        <v>28</v>
      </c>
      <c r="H96" s="6" t="s">
        <v>39</v>
      </c>
      <c r="I96" s="6">
        <v>30</v>
      </c>
      <c r="J96" s="6" t="s">
        <v>20</v>
      </c>
      <c r="K96" s="6"/>
      <c r="L96" s="6">
        <f t="shared" si="2"/>
        <v>22</v>
      </c>
      <c r="M96" s="5" t="s">
        <v>215</v>
      </c>
    </row>
    <row r="97" spans="1:13" hidden="1" x14ac:dyDescent="0.35">
      <c r="A97" s="4" t="s">
        <v>190</v>
      </c>
      <c r="B97" s="4" t="s">
        <v>216</v>
      </c>
      <c r="C97" s="5" t="s">
        <v>217</v>
      </c>
      <c r="D97" s="5" t="s">
        <v>218</v>
      </c>
      <c r="E97" s="5"/>
      <c r="F97" s="6" t="s">
        <v>18</v>
      </c>
      <c r="G97" s="6">
        <v>13</v>
      </c>
      <c r="H97" s="6" t="s">
        <v>130</v>
      </c>
      <c r="I97" s="6">
        <v>25</v>
      </c>
      <c r="J97" s="6" t="s">
        <v>20</v>
      </c>
      <c r="K97" s="6"/>
      <c r="L97" s="6">
        <f t="shared" si="2"/>
        <v>22</v>
      </c>
      <c r="M97" s="5"/>
    </row>
    <row r="98" spans="1:13" ht="23" hidden="1" x14ac:dyDescent="0.35">
      <c r="A98" s="4" t="s">
        <v>190</v>
      </c>
      <c r="B98" s="4" t="s">
        <v>216</v>
      </c>
      <c r="C98" s="5" t="s">
        <v>219</v>
      </c>
      <c r="D98" s="5" t="s">
        <v>220</v>
      </c>
      <c r="E98" s="5"/>
      <c r="F98" s="6" t="s">
        <v>18</v>
      </c>
      <c r="G98" s="6">
        <v>13</v>
      </c>
      <c r="H98" s="6" t="s">
        <v>130</v>
      </c>
      <c r="I98" s="6">
        <v>25</v>
      </c>
      <c r="J98" s="6" t="s">
        <v>20</v>
      </c>
      <c r="K98" s="6"/>
      <c r="L98" s="6">
        <f t="shared" si="2"/>
        <v>22</v>
      </c>
      <c r="M98" s="5"/>
    </row>
    <row r="99" spans="1:13" hidden="1" x14ac:dyDescent="0.35">
      <c r="A99" s="4" t="s">
        <v>190</v>
      </c>
      <c r="B99" s="4" t="s">
        <v>216</v>
      </c>
      <c r="C99" s="5" t="s">
        <v>221</v>
      </c>
      <c r="D99" s="5" t="s">
        <v>222</v>
      </c>
      <c r="E99" s="5"/>
      <c r="F99" s="6"/>
      <c r="G99" s="6">
        <v>13</v>
      </c>
      <c r="H99" s="6" t="s">
        <v>130</v>
      </c>
      <c r="I99" s="6">
        <v>20</v>
      </c>
      <c r="J99" s="6" t="s">
        <v>20</v>
      </c>
      <c r="K99" s="6"/>
      <c r="L99" s="6">
        <f t="shared" si="2"/>
        <v>22</v>
      </c>
      <c r="M99" s="5"/>
    </row>
    <row r="100" spans="1:13" ht="23" hidden="1" x14ac:dyDescent="0.35">
      <c r="A100" s="4" t="s">
        <v>190</v>
      </c>
      <c r="B100" s="4" t="s">
        <v>223</v>
      </c>
      <c r="C100" s="5" t="s">
        <v>224</v>
      </c>
      <c r="D100" s="5" t="s">
        <v>225</v>
      </c>
      <c r="E100" s="5"/>
      <c r="F100" s="6" t="s">
        <v>18</v>
      </c>
      <c r="G100" s="6">
        <v>8</v>
      </c>
      <c r="H100" s="6" t="s">
        <v>54</v>
      </c>
      <c r="I100" s="6">
        <v>25</v>
      </c>
      <c r="J100" s="6" t="s">
        <v>20</v>
      </c>
      <c r="K100" s="6"/>
      <c r="L100" s="6">
        <f t="shared" si="2"/>
        <v>22</v>
      </c>
      <c r="M100" s="5"/>
    </row>
    <row r="101" spans="1:13" hidden="1" x14ac:dyDescent="0.35">
      <c r="A101" s="4" t="s">
        <v>190</v>
      </c>
      <c r="B101" s="4" t="s">
        <v>223</v>
      </c>
      <c r="C101" s="5" t="s">
        <v>57</v>
      </c>
      <c r="D101" s="5" t="s">
        <v>226</v>
      </c>
      <c r="E101" s="5"/>
      <c r="F101" s="6"/>
      <c r="G101" s="6">
        <v>8</v>
      </c>
      <c r="H101" s="6" t="s">
        <v>54</v>
      </c>
      <c r="I101" s="6">
        <v>20</v>
      </c>
      <c r="J101" s="6" t="s">
        <v>20</v>
      </c>
      <c r="K101" s="6"/>
      <c r="L101" s="6">
        <f t="shared" ref="L101:L132" si="3">(IF(J101="Partial",1,IF(J101="Not Started",2,IF(J101="Covered",3,2))))*10+(IF(K101="High",1,IF(K101="Medium",2,IF(K101="Low",3,2))))</f>
        <v>22</v>
      </c>
      <c r="M101" s="5"/>
    </row>
    <row r="102" spans="1:13" ht="23" hidden="1" x14ac:dyDescent="0.35">
      <c r="A102" s="4" t="s">
        <v>190</v>
      </c>
      <c r="B102" s="4" t="s">
        <v>227</v>
      </c>
      <c r="C102" s="5" t="s">
        <v>99</v>
      </c>
      <c r="D102" s="5" t="s">
        <v>228</v>
      </c>
      <c r="E102" s="5"/>
      <c r="F102" s="6" t="s">
        <v>18</v>
      </c>
      <c r="G102" s="6">
        <v>5</v>
      </c>
      <c r="H102" s="6" t="s">
        <v>229</v>
      </c>
      <c r="I102" s="6">
        <v>30</v>
      </c>
      <c r="J102" s="6" t="s">
        <v>20</v>
      </c>
      <c r="K102" s="6"/>
      <c r="L102" s="6">
        <f t="shared" si="3"/>
        <v>22</v>
      </c>
      <c r="M102" s="5" t="s">
        <v>230</v>
      </c>
    </row>
    <row r="103" spans="1:13" ht="23" hidden="1" x14ac:dyDescent="0.35">
      <c r="A103" s="4" t="s">
        <v>190</v>
      </c>
      <c r="B103" s="4" t="s">
        <v>227</v>
      </c>
      <c r="C103" s="5" t="s">
        <v>231</v>
      </c>
      <c r="D103" s="5" t="s">
        <v>232</v>
      </c>
      <c r="E103" s="5"/>
      <c r="F103" s="6" t="s">
        <v>18</v>
      </c>
      <c r="G103" s="6">
        <v>5</v>
      </c>
      <c r="H103" s="6" t="s">
        <v>229</v>
      </c>
      <c r="I103" s="6">
        <v>25</v>
      </c>
      <c r="J103" s="6" t="s">
        <v>20</v>
      </c>
      <c r="K103" s="6"/>
      <c r="L103" s="6">
        <f t="shared" si="3"/>
        <v>22</v>
      </c>
      <c r="M103" s="5"/>
    </row>
    <row r="104" spans="1:13" ht="23" hidden="1" x14ac:dyDescent="0.35">
      <c r="A104" s="4" t="s">
        <v>190</v>
      </c>
      <c r="B104" s="4" t="s">
        <v>227</v>
      </c>
      <c r="C104" s="5" t="s">
        <v>233</v>
      </c>
      <c r="D104" s="5" t="s">
        <v>234</v>
      </c>
      <c r="E104" s="5"/>
      <c r="F104" s="6"/>
      <c r="G104" s="6">
        <v>5</v>
      </c>
      <c r="H104" s="6" t="s">
        <v>229</v>
      </c>
      <c r="I104" s="6">
        <v>25</v>
      </c>
      <c r="J104" s="6" t="s">
        <v>20</v>
      </c>
      <c r="K104" s="6"/>
      <c r="L104" s="6">
        <f t="shared" si="3"/>
        <v>22</v>
      </c>
      <c r="M104" s="5"/>
    </row>
    <row r="105" spans="1:13" ht="23" hidden="1" x14ac:dyDescent="0.35">
      <c r="A105" s="4" t="s">
        <v>190</v>
      </c>
      <c r="B105" s="4" t="s">
        <v>235</v>
      </c>
      <c r="C105" s="5" t="s">
        <v>236</v>
      </c>
      <c r="D105" s="5" t="s">
        <v>237</v>
      </c>
      <c r="E105" s="5"/>
      <c r="F105" s="6"/>
      <c r="G105" s="6">
        <v>5</v>
      </c>
      <c r="H105" s="6" t="s">
        <v>54</v>
      </c>
      <c r="I105" s="6">
        <v>25</v>
      </c>
      <c r="J105" s="6" t="s">
        <v>20</v>
      </c>
      <c r="K105" s="6"/>
      <c r="L105" s="6">
        <f t="shared" si="3"/>
        <v>22</v>
      </c>
      <c r="M105" s="5"/>
    </row>
    <row r="106" spans="1:13" hidden="1" x14ac:dyDescent="0.35">
      <c r="A106" s="4" t="s">
        <v>190</v>
      </c>
      <c r="B106" s="4" t="s">
        <v>235</v>
      </c>
      <c r="C106" s="5" t="s">
        <v>238</v>
      </c>
      <c r="D106" s="5" t="s">
        <v>239</v>
      </c>
      <c r="E106" s="5"/>
      <c r="F106" s="6"/>
      <c r="G106" s="6">
        <v>5</v>
      </c>
      <c r="H106" s="6" t="s">
        <v>54</v>
      </c>
      <c r="I106" s="6">
        <v>20</v>
      </c>
      <c r="J106" s="6" t="s">
        <v>20</v>
      </c>
      <c r="K106" s="6"/>
      <c r="L106" s="6">
        <f t="shared" si="3"/>
        <v>22</v>
      </c>
      <c r="M106" s="5"/>
    </row>
  </sheetData>
  <autoFilter ref="A4:M106" xr:uid="{00000000-0009-0000-0000-000000000000}">
    <filterColumn colId="0">
      <filters>
        <filter val="Paper I"/>
      </filters>
    </filterColumn>
  </autoFilter>
  <conditionalFormatting sqref="H5:H106">
    <cfRule type="cellIs" dxfId="7" priority="5" operator="equal">
      <formula>"Very High"</formula>
    </cfRule>
    <cfRule type="cellIs" dxfId="6" priority="6" operator="equal">
      <formula>"High"</formula>
    </cfRule>
    <cfRule type="cellIs" dxfId="5" priority="7" operator="equal">
      <formula>"Moderate"</formula>
    </cfRule>
    <cfRule type="cellIs" dxfId="4" priority="8" operator="equal">
      <formula>"Lower"</formula>
    </cfRule>
    <cfRule type="cellIs" dxfId="3" priority="9" operator="equal">
      <formula>"Distributed"</formula>
    </cfRule>
  </conditionalFormatting>
  <conditionalFormatting sqref="J5:J106">
    <cfRule type="cellIs" dxfId="2" priority="2" operator="equal">
      <formula>"Covered"</formula>
    </cfRule>
    <cfRule type="cellIs" dxfId="1" priority="3" operator="equal">
      <formula>"Partial"</formula>
    </cfRule>
    <cfRule type="cellIs" dxfId="0" priority="4" operator="equal">
      <formula>"Not Started"</formula>
    </cfRule>
  </conditionalFormatting>
  <dataValidations count="2">
    <dataValidation type="list" sqref="J5:J106" xr:uid="{00000000-0002-0000-0000-000000000000}">
      <formula1>"Not Started,Partial,Covered"</formula1>
      <formula2>0</formula2>
    </dataValidation>
    <dataValidation type="list" allowBlank="1" sqref="K5:K106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28" customWidth="1"/>
    <col min="3" max="3" width="9" customWidth="1"/>
    <col min="4" max="4" width="11" customWidth="1"/>
    <col min="5" max="5" width="7" customWidth="1"/>
    <col min="6" max="6" width="8" customWidth="1"/>
    <col min="7" max="7" width="7" customWidth="1"/>
    <col min="8" max="9" width="11" customWidth="1"/>
  </cols>
  <sheetData>
    <row r="1" spans="1:9" ht="19" x14ac:dyDescent="0.4">
      <c r="A1" s="1" t="s">
        <v>240</v>
      </c>
    </row>
    <row r="2" spans="1:9" x14ac:dyDescent="0.35">
      <c r="A2" s="2" t="s">
        <v>241</v>
      </c>
    </row>
    <row r="4" spans="1:9" ht="39" x14ac:dyDescent="0.35">
      <c r="A4" s="3" t="s">
        <v>2</v>
      </c>
      <c r="B4" s="3" t="s">
        <v>3</v>
      </c>
      <c r="C4" s="3" t="s">
        <v>242</v>
      </c>
      <c r="D4" s="3" t="s">
        <v>243</v>
      </c>
      <c r="E4" s="3" t="s">
        <v>244</v>
      </c>
      <c r="F4" s="3" t="s">
        <v>245</v>
      </c>
      <c r="G4" s="3" t="s">
        <v>246</v>
      </c>
      <c r="H4" s="3" t="s">
        <v>20</v>
      </c>
      <c r="I4" s="3" t="s">
        <v>247</v>
      </c>
    </row>
    <row r="5" spans="1:9" x14ac:dyDescent="0.35">
      <c r="A5" s="4" t="s">
        <v>14</v>
      </c>
      <c r="B5" s="4" t="s">
        <v>59</v>
      </c>
      <c r="C5" s="6">
        <v>33</v>
      </c>
      <c r="D5" s="6" t="s">
        <v>19</v>
      </c>
      <c r="E5" s="6">
        <f>COUNTIF(Tracker!$B$5:$B$106,B5)</f>
        <v>10</v>
      </c>
      <c r="F5" s="6">
        <f>COUNTIFS(Tracker!$B$5:$B$106,B5,Tracker!$J$5:$J$106,"Covered")</f>
        <v>0</v>
      </c>
      <c r="G5" s="6">
        <f>COUNTIFS(Tracker!$B$5:$B$106,B5,Tracker!$J$5:$J$106,"Partial")</f>
        <v>0</v>
      </c>
      <c r="H5" s="6">
        <f>COUNTIFS(Tracker!$B$5:$B$106,B5,Tracker!$J$5:$J$106,"Not Started")</f>
        <v>10</v>
      </c>
      <c r="I5" s="7">
        <f t="shared" ref="I5:I23" si="0">IF(E5=0,0,(F5+0.5*G5)/E5)</f>
        <v>0</v>
      </c>
    </row>
    <row r="6" spans="1:9" x14ac:dyDescent="0.35">
      <c r="A6" s="4" t="s">
        <v>14</v>
      </c>
      <c r="B6" s="4" t="s">
        <v>15</v>
      </c>
      <c r="C6" s="6">
        <v>30</v>
      </c>
      <c r="D6" s="6" t="s">
        <v>19</v>
      </c>
      <c r="E6" s="6">
        <f>COUNTIF(Tracker!$B$5:$B$106,B6)</f>
        <v>10</v>
      </c>
      <c r="F6" s="6">
        <f>COUNTIFS(Tracker!$B$5:$B$106,B6,Tracker!$J$5:$J$106,"Covered")</f>
        <v>0</v>
      </c>
      <c r="G6" s="6">
        <f>COUNTIFS(Tracker!$B$5:$B$106,B6,Tracker!$J$5:$J$106,"Partial")</f>
        <v>0</v>
      </c>
      <c r="H6" s="6">
        <f>COUNTIFS(Tracker!$B$5:$B$106,B6,Tracker!$J$5:$J$106,"Not Started")</f>
        <v>10</v>
      </c>
      <c r="I6" s="7">
        <f t="shared" si="0"/>
        <v>0</v>
      </c>
    </row>
    <row r="7" spans="1:9" x14ac:dyDescent="0.35">
      <c r="A7" s="4" t="s">
        <v>14</v>
      </c>
      <c r="B7" s="4" t="s">
        <v>36</v>
      </c>
      <c r="C7" s="6">
        <v>23</v>
      </c>
      <c r="D7" s="6" t="s">
        <v>39</v>
      </c>
      <c r="E7" s="6">
        <f>COUNTIF(Tracker!$B$5:$B$106,B7)</f>
        <v>7</v>
      </c>
      <c r="F7" s="6">
        <f>COUNTIFS(Tracker!$B$5:$B$106,B7,Tracker!$J$5:$J$106,"Covered")</f>
        <v>0</v>
      </c>
      <c r="G7" s="6">
        <f>COUNTIFS(Tracker!$B$5:$B$106,B7,Tracker!$J$5:$J$106,"Partial")</f>
        <v>0</v>
      </c>
      <c r="H7" s="6">
        <f>COUNTIFS(Tracker!$B$5:$B$106,B7,Tracker!$J$5:$J$106,"Not Started")</f>
        <v>7</v>
      </c>
      <c r="I7" s="7">
        <f t="shared" si="0"/>
        <v>0</v>
      </c>
    </row>
    <row r="8" spans="1:9" x14ac:dyDescent="0.35">
      <c r="A8" s="4" t="s">
        <v>14</v>
      </c>
      <c r="B8" s="4" t="s">
        <v>51</v>
      </c>
      <c r="C8" s="6">
        <v>7</v>
      </c>
      <c r="D8" s="6" t="s">
        <v>54</v>
      </c>
      <c r="E8" s="6">
        <f>COUNTIF(Tracker!$B$5:$B$106,B8)</f>
        <v>3</v>
      </c>
      <c r="F8" s="6">
        <f>COUNTIFS(Tracker!$B$5:$B$106,B8,Tracker!$J$5:$J$106,"Covered")</f>
        <v>0</v>
      </c>
      <c r="G8" s="6">
        <f>COUNTIFS(Tracker!$B$5:$B$106,B8,Tracker!$J$5:$J$106,"Partial")</f>
        <v>0</v>
      </c>
      <c r="H8" s="6">
        <f>COUNTIFS(Tracker!$B$5:$B$106,B8,Tracker!$J$5:$J$106,"Not Started")</f>
        <v>3</v>
      </c>
      <c r="I8" s="7">
        <f t="shared" si="0"/>
        <v>0</v>
      </c>
    </row>
    <row r="9" spans="1:9" x14ac:dyDescent="0.35">
      <c r="A9" s="4" t="s">
        <v>14</v>
      </c>
      <c r="B9" s="4" t="s">
        <v>78</v>
      </c>
      <c r="C9" s="6">
        <v>7</v>
      </c>
      <c r="D9" s="6" t="s">
        <v>54</v>
      </c>
      <c r="E9" s="6">
        <f>COUNTIF(Tracker!$B$5:$B$106,B9)</f>
        <v>2</v>
      </c>
      <c r="F9" s="6">
        <f>COUNTIFS(Tracker!$B$5:$B$106,B9,Tracker!$J$5:$J$106,"Covered")</f>
        <v>0</v>
      </c>
      <c r="G9" s="6">
        <f>COUNTIFS(Tracker!$B$5:$B$106,B9,Tracker!$J$5:$J$106,"Partial")</f>
        <v>0</v>
      </c>
      <c r="H9" s="6">
        <f>COUNTIFS(Tracker!$B$5:$B$106,B9,Tracker!$J$5:$J$106,"Not Started")</f>
        <v>2</v>
      </c>
      <c r="I9" s="7">
        <f t="shared" si="0"/>
        <v>0</v>
      </c>
    </row>
    <row r="10" spans="1:9" x14ac:dyDescent="0.35">
      <c r="A10" s="4" t="s">
        <v>84</v>
      </c>
      <c r="B10" s="4" t="s">
        <v>85</v>
      </c>
      <c r="C10" s="6">
        <v>48</v>
      </c>
      <c r="D10" s="6" t="s">
        <v>19</v>
      </c>
      <c r="E10" s="6">
        <f>COUNTIF(Tracker!$B$5:$B$106,B10)</f>
        <v>10</v>
      </c>
      <c r="F10" s="6">
        <f>COUNTIFS(Tracker!$B$5:$B$106,B10,Tracker!$J$5:$J$106,"Covered")</f>
        <v>0</v>
      </c>
      <c r="G10" s="6">
        <f>COUNTIFS(Tracker!$B$5:$B$106,B10,Tracker!$J$5:$J$106,"Partial")</f>
        <v>0</v>
      </c>
      <c r="H10" s="6">
        <f>COUNTIFS(Tracker!$B$5:$B$106,B10,Tracker!$J$5:$J$106,"Not Started")</f>
        <v>10</v>
      </c>
      <c r="I10" s="7">
        <f t="shared" si="0"/>
        <v>0</v>
      </c>
    </row>
    <row r="11" spans="1:9" x14ac:dyDescent="0.35">
      <c r="A11" s="4" t="s">
        <v>84</v>
      </c>
      <c r="B11" s="4" t="s">
        <v>117</v>
      </c>
      <c r="C11" s="6">
        <v>20</v>
      </c>
      <c r="D11" s="6" t="s">
        <v>39</v>
      </c>
      <c r="E11" s="6">
        <f>COUNTIF(Tracker!$B$5:$B$106,B11)</f>
        <v>4</v>
      </c>
      <c r="F11" s="6">
        <f>COUNTIFS(Tracker!$B$5:$B$106,B11,Tracker!$J$5:$J$106,"Covered")</f>
        <v>0</v>
      </c>
      <c r="G11" s="6">
        <f>COUNTIFS(Tracker!$B$5:$B$106,B11,Tracker!$J$5:$J$106,"Partial")</f>
        <v>0</v>
      </c>
      <c r="H11" s="6">
        <f>COUNTIFS(Tracker!$B$5:$B$106,B11,Tracker!$J$5:$J$106,"Not Started")</f>
        <v>4</v>
      </c>
      <c r="I11" s="7">
        <f t="shared" si="0"/>
        <v>0</v>
      </c>
    </row>
    <row r="12" spans="1:9" x14ac:dyDescent="0.35">
      <c r="A12" s="4" t="s">
        <v>84</v>
      </c>
      <c r="B12" s="4" t="s">
        <v>105</v>
      </c>
      <c r="C12" s="6">
        <v>18</v>
      </c>
      <c r="D12" s="6" t="s">
        <v>39</v>
      </c>
      <c r="E12" s="6">
        <f>COUNTIF(Tracker!$B$5:$B$106,B12)</f>
        <v>6</v>
      </c>
      <c r="F12" s="6">
        <f>COUNTIFS(Tracker!$B$5:$B$106,B12,Tracker!$J$5:$J$106,"Covered")</f>
        <v>0</v>
      </c>
      <c r="G12" s="6">
        <f>COUNTIFS(Tracker!$B$5:$B$106,B12,Tracker!$J$5:$J$106,"Partial")</f>
        <v>0</v>
      </c>
      <c r="H12" s="6">
        <f>COUNTIFS(Tracker!$B$5:$B$106,B12,Tracker!$J$5:$J$106,"Not Started")</f>
        <v>6</v>
      </c>
      <c r="I12" s="7">
        <f t="shared" si="0"/>
        <v>0</v>
      </c>
    </row>
    <row r="13" spans="1:9" x14ac:dyDescent="0.35">
      <c r="A13" s="4" t="s">
        <v>84</v>
      </c>
      <c r="B13" s="4" t="s">
        <v>127</v>
      </c>
      <c r="C13" s="6">
        <v>13</v>
      </c>
      <c r="D13" s="6" t="s">
        <v>130</v>
      </c>
      <c r="E13" s="6">
        <f>COUNTIF(Tracker!$B$5:$B$106,B13)</f>
        <v>3</v>
      </c>
      <c r="F13" s="6">
        <f>COUNTIFS(Tracker!$B$5:$B$106,B13,Tracker!$J$5:$J$106,"Covered")</f>
        <v>0</v>
      </c>
      <c r="G13" s="6">
        <f>COUNTIFS(Tracker!$B$5:$B$106,B13,Tracker!$J$5:$J$106,"Partial")</f>
        <v>0</v>
      </c>
      <c r="H13" s="6">
        <f>COUNTIFS(Tracker!$B$5:$B$106,B13,Tracker!$J$5:$J$106,"Not Started")</f>
        <v>3</v>
      </c>
      <c r="I13" s="7">
        <f t="shared" si="0"/>
        <v>0</v>
      </c>
    </row>
    <row r="14" spans="1:9" x14ac:dyDescent="0.35">
      <c r="A14" s="4" t="s">
        <v>134</v>
      </c>
      <c r="B14" s="4" t="s">
        <v>135</v>
      </c>
      <c r="C14" s="6">
        <v>43</v>
      </c>
      <c r="D14" s="6" t="s">
        <v>19</v>
      </c>
      <c r="E14" s="6">
        <f>COUNTIF(Tracker!$B$5:$B$106,B14)</f>
        <v>10</v>
      </c>
      <c r="F14" s="6">
        <f>COUNTIFS(Tracker!$B$5:$B$106,B14,Tracker!$J$5:$J$106,"Covered")</f>
        <v>0</v>
      </c>
      <c r="G14" s="6">
        <f>COUNTIFS(Tracker!$B$5:$B$106,B14,Tracker!$J$5:$J$106,"Partial")</f>
        <v>0</v>
      </c>
      <c r="H14" s="6">
        <f>COUNTIFS(Tracker!$B$5:$B$106,B14,Tracker!$J$5:$J$106,"Not Started")</f>
        <v>10</v>
      </c>
      <c r="I14" s="7">
        <f t="shared" si="0"/>
        <v>0</v>
      </c>
    </row>
    <row r="15" spans="1:9" x14ac:dyDescent="0.35">
      <c r="A15" s="4" t="s">
        <v>134</v>
      </c>
      <c r="B15" s="4" t="s">
        <v>156</v>
      </c>
      <c r="C15" s="6">
        <v>30</v>
      </c>
      <c r="D15" s="6" t="s">
        <v>19</v>
      </c>
      <c r="E15" s="6">
        <f>COUNTIF(Tracker!$B$5:$B$106,B15)</f>
        <v>9</v>
      </c>
      <c r="F15" s="6">
        <f>COUNTIFS(Tracker!$B$5:$B$106,B15,Tracker!$J$5:$J$106,"Covered")</f>
        <v>0</v>
      </c>
      <c r="G15" s="6">
        <f>COUNTIFS(Tracker!$B$5:$B$106,B15,Tracker!$J$5:$J$106,"Partial")</f>
        <v>0</v>
      </c>
      <c r="H15" s="6">
        <f>COUNTIFS(Tracker!$B$5:$B$106,B15,Tracker!$J$5:$J$106,"Not Started")</f>
        <v>9</v>
      </c>
      <c r="I15" s="7">
        <f t="shared" si="0"/>
        <v>0</v>
      </c>
    </row>
    <row r="16" spans="1:9" x14ac:dyDescent="0.35">
      <c r="A16" s="4" t="s">
        <v>134</v>
      </c>
      <c r="B16" s="4" t="s">
        <v>174</v>
      </c>
      <c r="C16" s="6">
        <v>15</v>
      </c>
      <c r="D16" s="6" t="s">
        <v>130</v>
      </c>
      <c r="E16" s="6">
        <f>COUNTIF(Tracker!$B$5:$B$106,B16)</f>
        <v>4</v>
      </c>
      <c r="F16" s="6">
        <f>COUNTIFS(Tracker!$B$5:$B$106,B16,Tracker!$J$5:$J$106,"Covered")</f>
        <v>0</v>
      </c>
      <c r="G16" s="6">
        <f>COUNTIFS(Tracker!$B$5:$B$106,B16,Tracker!$J$5:$J$106,"Partial")</f>
        <v>0</v>
      </c>
      <c r="H16" s="6">
        <f>COUNTIFS(Tracker!$B$5:$B$106,B16,Tracker!$J$5:$J$106,"Not Started")</f>
        <v>4</v>
      </c>
      <c r="I16" s="7">
        <f t="shared" si="0"/>
        <v>0</v>
      </c>
    </row>
    <row r="17" spans="1:9" x14ac:dyDescent="0.35">
      <c r="A17" s="4" t="s">
        <v>134</v>
      </c>
      <c r="B17" s="4" t="s">
        <v>183</v>
      </c>
      <c r="C17" s="6">
        <v>12</v>
      </c>
      <c r="D17" s="6" t="s">
        <v>130</v>
      </c>
      <c r="E17" s="6">
        <f>COUNTIF(Tracker!$B$5:$B$106,B17)</f>
        <v>3</v>
      </c>
      <c r="F17" s="6">
        <f>COUNTIFS(Tracker!$B$5:$B$106,B17,Tracker!$J$5:$J$106,"Covered")</f>
        <v>0</v>
      </c>
      <c r="G17" s="6">
        <f>COUNTIFS(Tracker!$B$5:$B$106,B17,Tracker!$J$5:$J$106,"Partial")</f>
        <v>0</v>
      </c>
      <c r="H17" s="6">
        <f>COUNTIFS(Tracker!$B$5:$B$106,B17,Tracker!$J$5:$J$106,"Not Started")</f>
        <v>3</v>
      </c>
      <c r="I17" s="7">
        <f t="shared" si="0"/>
        <v>0</v>
      </c>
    </row>
    <row r="18" spans="1:9" x14ac:dyDescent="0.35">
      <c r="A18" s="4" t="s">
        <v>190</v>
      </c>
      <c r="B18" s="4" t="s">
        <v>191</v>
      </c>
      <c r="C18" s="6">
        <v>43</v>
      </c>
      <c r="D18" s="6" t="s">
        <v>19</v>
      </c>
      <c r="E18" s="6">
        <f>COUNTIF(Tracker!$B$5:$B$106,B18)</f>
        <v>7</v>
      </c>
      <c r="F18" s="6">
        <f>COUNTIFS(Tracker!$B$5:$B$106,B18,Tracker!$J$5:$J$106,"Covered")</f>
        <v>0</v>
      </c>
      <c r="G18" s="6">
        <f>COUNTIFS(Tracker!$B$5:$B$106,B18,Tracker!$J$5:$J$106,"Partial")</f>
        <v>0</v>
      </c>
      <c r="H18" s="6">
        <f>COUNTIFS(Tracker!$B$5:$B$106,B18,Tracker!$J$5:$J$106,"Not Started")</f>
        <v>7</v>
      </c>
      <c r="I18" s="7">
        <f t="shared" si="0"/>
        <v>0</v>
      </c>
    </row>
    <row r="19" spans="1:9" x14ac:dyDescent="0.35">
      <c r="A19" s="4" t="s">
        <v>190</v>
      </c>
      <c r="B19" s="4" t="s">
        <v>206</v>
      </c>
      <c r="C19" s="6">
        <v>28</v>
      </c>
      <c r="D19" s="6" t="s">
        <v>39</v>
      </c>
      <c r="E19" s="6">
        <f>COUNTIF(Tracker!$B$5:$B$106,B19)</f>
        <v>4</v>
      </c>
      <c r="F19" s="6">
        <f>COUNTIFS(Tracker!$B$5:$B$106,B19,Tracker!$J$5:$J$106,"Covered")</f>
        <v>0</v>
      </c>
      <c r="G19" s="6">
        <f>COUNTIFS(Tracker!$B$5:$B$106,B19,Tracker!$J$5:$J$106,"Partial")</f>
        <v>0</v>
      </c>
      <c r="H19" s="6">
        <f>COUNTIFS(Tracker!$B$5:$B$106,B19,Tracker!$J$5:$J$106,"Not Started")</f>
        <v>4</v>
      </c>
      <c r="I19" s="7">
        <f t="shared" si="0"/>
        <v>0</v>
      </c>
    </row>
    <row r="20" spans="1:9" x14ac:dyDescent="0.35">
      <c r="A20" s="4" t="s">
        <v>190</v>
      </c>
      <c r="B20" s="4" t="s">
        <v>216</v>
      </c>
      <c r="C20" s="6">
        <v>13</v>
      </c>
      <c r="D20" s="6" t="s">
        <v>130</v>
      </c>
      <c r="E20" s="6">
        <f>COUNTIF(Tracker!$B$5:$B$106,B20)</f>
        <v>3</v>
      </c>
      <c r="F20" s="6">
        <f>COUNTIFS(Tracker!$B$5:$B$106,B20,Tracker!$J$5:$J$106,"Covered")</f>
        <v>0</v>
      </c>
      <c r="G20" s="6">
        <f>COUNTIFS(Tracker!$B$5:$B$106,B20,Tracker!$J$5:$J$106,"Partial")</f>
        <v>0</v>
      </c>
      <c r="H20" s="6">
        <f>COUNTIFS(Tracker!$B$5:$B$106,B20,Tracker!$J$5:$J$106,"Not Started")</f>
        <v>3</v>
      </c>
      <c r="I20" s="7">
        <f t="shared" si="0"/>
        <v>0</v>
      </c>
    </row>
    <row r="21" spans="1:9" x14ac:dyDescent="0.35">
      <c r="A21" s="4" t="s">
        <v>190</v>
      </c>
      <c r="B21" s="4" t="s">
        <v>223</v>
      </c>
      <c r="C21" s="6">
        <v>8</v>
      </c>
      <c r="D21" s="6" t="s">
        <v>54</v>
      </c>
      <c r="E21" s="6">
        <f>COUNTIF(Tracker!$B$5:$B$106,B21)</f>
        <v>2</v>
      </c>
      <c r="F21" s="6">
        <f>COUNTIFS(Tracker!$B$5:$B$106,B21,Tracker!$J$5:$J$106,"Covered")</f>
        <v>0</v>
      </c>
      <c r="G21" s="6">
        <f>COUNTIFS(Tracker!$B$5:$B$106,B21,Tracker!$J$5:$J$106,"Partial")</f>
        <v>0</v>
      </c>
      <c r="H21" s="6">
        <f>COUNTIFS(Tracker!$B$5:$B$106,B21,Tracker!$J$5:$J$106,"Not Started")</f>
        <v>2</v>
      </c>
      <c r="I21" s="7">
        <f t="shared" si="0"/>
        <v>0</v>
      </c>
    </row>
    <row r="22" spans="1:9" x14ac:dyDescent="0.35">
      <c r="A22" s="4" t="s">
        <v>190</v>
      </c>
      <c r="B22" s="4" t="s">
        <v>227</v>
      </c>
      <c r="C22" s="6">
        <v>5</v>
      </c>
      <c r="D22" s="6" t="s">
        <v>229</v>
      </c>
      <c r="E22" s="6">
        <f>COUNTIF(Tracker!$B$5:$B$106,B22)</f>
        <v>3</v>
      </c>
      <c r="F22" s="6">
        <f>COUNTIFS(Tracker!$B$5:$B$106,B22,Tracker!$J$5:$J$106,"Covered")</f>
        <v>0</v>
      </c>
      <c r="G22" s="6">
        <f>COUNTIFS(Tracker!$B$5:$B$106,B22,Tracker!$J$5:$J$106,"Partial")</f>
        <v>0</v>
      </c>
      <c r="H22" s="6">
        <f>COUNTIFS(Tracker!$B$5:$B$106,B22,Tracker!$J$5:$J$106,"Not Started")</f>
        <v>3</v>
      </c>
      <c r="I22" s="7">
        <f t="shared" si="0"/>
        <v>0</v>
      </c>
    </row>
    <row r="23" spans="1:9" x14ac:dyDescent="0.35">
      <c r="A23" s="4" t="s">
        <v>190</v>
      </c>
      <c r="B23" s="4" t="s">
        <v>235</v>
      </c>
      <c r="C23" s="6">
        <v>5</v>
      </c>
      <c r="D23" s="6" t="s">
        <v>54</v>
      </c>
      <c r="E23" s="6">
        <f>COUNTIF(Tracker!$B$5:$B$106,B23)</f>
        <v>2</v>
      </c>
      <c r="F23" s="6">
        <f>COUNTIFS(Tracker!$B$5:$B$106,B23,Tracker!$J$5:$J$106,"Covered")</f>
        <v>0</v>
      </c>
      <c r="G23" s="6">
        <f>COUNTIFS(Tracker!$B$5:$B$106,B23,Tracker!$J$5:$J$106,"Partial")</f>
        <v>0</v>
      </c>
      <c r="H23" s="6">
        <f>COUNTIFS(Tracker!$B$5:$B$106,B23,Tracker!$J$5:$J$106,"Not Started")</f>
        <v>2</v>
      </c>
      <c r="I23" s="7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"/>
  <sheetViews>
    <sheetView zoomScaleNormal="100" workbookViewId="0">
      <selection activeCell="A12" sqref="A12"/>
    </sheetView>
  </sheetViews>
  <sheetFormatPr defaultColWidth="8.6328125" defaultRowHeight="14.5" x14ac:dyDescent="0.35"/>
  <cols>
    <col min="1" max="1" width="120" customWidth="1"/>
  </cols>
  <sheetData>
    <row r="1" spans="1:1" ht="19" x14ac:dyDescent="0.4">
      <c r="A1" s="1" t="s">
        <v>248</v>
      </c>
    </row>
    <row r="3" spans="1:1" x14ac:dyDescent="0.35">
      <c r="A3" s="8" t="s">
        <v>249</v>
      </c>
    </row>
    <row r="4" spans="1:1" x14ac:dyDescent="0.35">
      <c r="A4" s="9" t="s">
        <v>250</v>
      </c>
    </row>
    <row r="5" spans="1:1" x14ac:dyDescent="0.35">
      <c r="A5" s="9" t="s">
        <v>251</v>
      </c>
    </row>
    <row r="6" spans="1:1" x14ac:dyDescent="0.35">
      <c r="A6" s="9" t="s">
        <v>252</v>
      </c>
    </row>
    <row r="7" spans="1:1" x14ac:dyDescent="0.35">
      <c r="A7" s="9"/>
    </row>
    <row r="8" spans="1:1" x14ac:dyDescent="0.35">
      <c r="A8" s="8" t="s">
        <v>253</v>
      </c>
    </row>
    <row r="9" spans="1:1" x14ac:dyDescent="0.35">
      <c r="A9" s="9" t="s">
        <v>254</v>
      </c>
    </row>
    <row r="10" spans="1:1" x14ac:dyDescent="0.35">
      <c r="A10" s="9" t="s">
        <v>255</v>
      </c>
    </row>
    <row r="11" spans="1:1" x14ac:dyDescent="0.35">
      <c r="A11" s="9" t="s">
        <v>256</v>
      </c>
    </row>
    <row r="12" spans="1:1" x14ac:dyDescent="0.35">
      <c r="A12" s="9" t="s">
        <v>257</v>
      </c>
    </row>
    <row r="13" spans="1:1" x14ac:dyDescent="0.35">
      <c r="A13" s="9" t="s">
        <v>258</v>
      </c>
    </row>
    <row r="14" spans="1:1" x14ac:dyDescent="0.35">
      <c r="A14" s="9"/>
    </row>
    <row r="15" spans="1:1" x14ac:dyDescent="0.35">
      <c r="A15" s="8" t="s">
        <v>259</v>
      </c>
    </row>
    <row r="16" spans="1:1" x14ac:dyDescent="0.35">
      <c r="A16" s="9" t="s">
        <v>260</v>
      </c>
    </row>
    <row r="17" spans="1:1" x14ac:dyDescent="0.35">
      <c r="A17" s="9" t="s">
        <v>261</v>
      </c>
    </row>
    <row r="18" spans="1:1" x14ac:dyDescent="0.35">
      <c r="A18" s="9"/>
    </row>
    <row r="19" spans="1:1" x14ac:dyDescent="0.35">
      <c r="A19" s="8" t="s">
        <v>262</v>
      </c>
    </row>
    <row r="20" spans="1:1" x14ac:dyDescent="0.35">
      <c r="A20" s="9" t="s">
        <v>263</v>
      </c>
    </row>
    <row r="21" spans="1:1" x14ac:dyDescent="0.35">
      <c r="A21" s="9" t="s">
        <v>264</v>
      </c>
    </row>
    <row r="22" spans="1:1" x14ac:dyDescent="0.35">
      <c r="A22" s="9" t="s">
        <v>265</v>
      </c>
    </row>
    <row r="23" spans="1:1" x14ac:dyDescent="0.35">
      <c r="A23" s="9" t="s">
        <v>266</v>
      </c>
    </row>
    <row r="24" spans="1:1" x14ac:dyDescent="0.35">
      <c r="A24" s="9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Dashboard</vt:lpstr>
      <vt:lpstr>Sources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Prakash</cp:lastModifiedBy>
  <cp:revision>0</cp:revision>
  <dcterms:created xsi:type="dcterms:W3CDTF">2026-06-15T19:53:18Z</dcterms:created>
  <dcterms:modified xsi:type="dcterms:W3CDTF">2026-06-15T20:14:13Z</dcterms:modified>
  <dc:language>en-US</dc:language>
</cp:coreProperties>
</file>